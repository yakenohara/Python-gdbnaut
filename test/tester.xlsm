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DA2C9DCB-E133-443C-BC5E-F0590031FE8B}" xr6:coauthVersionLast="45" xr6:coauthVersionMax="45" xr10:uidLastSave="{00000000-0000-0000-0000-000000000000}"/>
  <bookViews>
    <workbookView xWindow="37455" yWindow="14205" windowWidth="32160" windowHeight="1819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0" i="1" l="1"/>
  <c r="Q20" i="1" s="1"/>
  <c r="D20" i="1"/>
  <c r="H20" i="1" s="1"/>
  <c r="M20" i="1" l="1"/>
  <c r="P20" i="1" s="1"/>
  <c r="P12" i="1"/>
  <c r="F10" i="1"/>
  <c r="M12" i="1"/>
  <c r="F9" i="1"/>
  <c r="D19" i="1"/>
  <c r="D18" i="1"/>
  <c r="D17" i="1"/>
  <c r="D16" i="1"/>
  <c r="D15" i="1"/>
  <c r="D14" i="1"/>
  <c r="H14" i="1" s="1"/>
  <c r="F19" i="1" l="1"/>
  <c r="H19" i="1"/>
  <c r="F18" i="1"/>
  <c r="H18" i="1"/>
  <c r="F17" i="1"/>
  <c r="H17" i="1"/>
  <c r="F16" i="1"/>
  <c r="H16" i="1"/>
  <c r="F15" i="1"/>
  <c r="H15" i="1"/>
  <c r="M16" i="1" l="1"/>
  <c r="P16" i="1" s="1"/>
  <c r="Q16" i="1"/>
  <c r="M17" i="1"/>
  <c r="P17" i="1" s="1"/>
  <c r="Q17" i="1"/>
  <c r="M18" i="1"/>
  <c r="P18" i="1" s="1"/>
  <c r="Q18" i="1"/>
  <c r="M15" i="1"/>
  <c r="P15" i="1" s="1"/>
  <c r="Q15" i="1"/>
  <c r="M19" i="1"/>
  <c r="P19" i="1" s="1"/>
  <c r="Q19" i="1"/>
  <c r="F14" i="1"/>
  <c r="C1" i="1"/>
  <c r="G20" i="1" l="1"/>
  <c r="R20" i="1"/>
  <c r="J20" i="1"/>
  <c r="N20" i="1" s="1"/>
  <c r="M14" i="1"/>
  <c r="P14" i="1" s="1"/>
  <c r="Q14" i="1"/>
  <c r="R19" i="1"/>
  <c r="R17" i="1"/>
  <c r="R16" i="1"/>
  <c r="R18" i="1"/>
  <c r="R15" i="1"/>
  <c r="R14" i="1"/>
  <c r="D9" i="1"/>
  <c r="D8" i="1"/>
  <c r="D7" i="1"/>
  <c r="D6" i="1"/>
  <c r="G19" i="1"/>
  <c r="G18" i="1"/>
  <c r="G17" i="1"/>
  <c r="G16" i="1"/>
  <c r="G15" i="1"/>
  <c r="J18" i="1"/>
  <c r="N18" i="1" s="1"/>
  <c r="J15" i="1"/>
  <c r="N15" i="1" s="1"/>
  <c r="J19" i="1"/>
  <c r="N19" i="1" s="1"/>
  <c r="J17" i="1"/>
  <c r="N17" i="1" s="1"/>
  <c r="J16" i="1"/>
  <c r="N16" i="1" s="1"/>
  <c r="J14" i="1"/>
  <c r="N14" i="1" s="1"/>
  <c r="G14" i="1"/>
  <c r="O17" i="1"/>
  <c r="O19" i="1"/>
  <c r="O16" i="1"/>
  <c r="O14" i="1"/>
  <c r="O15" i="1"/>
  <c r="O20" i="1"/>
  <c r="O18" i="1"/>
  <c r="I17" i="1"/>
  <c r="I19" i="1"/>
  <c r="I20" i="1"/>
  <c r="I15" i="1"/>
  <c r="I14" i="1"/>
  <c r="I16" i="1"/>
  <c r="I18" i="1"/>
  <c r="D10" i="1"/>
  <c r="S18" i="1"/>
  <c r="S20" i="1"/>
  <c r="S15" i="1"/>
  <c r="S17" i="1"/>
  <c r="S16" i="1"/>
  <c r="S19" i="1"/>
  <c r="S14" i="1"/>
  <c r="K20" i="1" l="1"/>
  <c r="K17" i="1"/>
  <c r="K14" i="1"/>
  <c r="K16" i="1"/>
  <c r="K18" i="1"/>
  <c r="K15" i="1"/>
  <c r="K19" i="1"/>
  <c r="L18" i="1"/>
  <c r="L19" i="1"/>
  <c r="L17" i="1"/>
  <c r="L14" i="1"/>
  <c r="L15" i="1"/>
  <c r="L16" i="1"/>
  <c r="L20" i="1"/>
</calcChain>
</file>

<file path=xl/sharedStrings.xml><?xml version="1.0" encoding="utf-8"?>
<sst xmlns="http://schemas.openxmlformats.org/spreadsheetml/2006/main" count="67" uniqueCount="64">
  <si>
    <t>{{ global_def }}</t>
    <phoneticPr fontId="1"/>
  </si>
  <si>
    <t>int main(int argc,char *argv[])
{
 int i;
 for (i = 0; i &lt; argc; i++) {
  printf("argv[%d]:\"%s\"\n", i, argv[i]);
 }
 return 0;
}</t>
    <phoneticPr fontId="1"/>
  </si>
  <si>
    <t>{{ main_func }}</t>
    <phoneticPr fontId="1"/>
  </si>
  <si>
    <t>No</t>
    <phoneticPr fontId="1"/>
  </si>
  <si>
    <t>global char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</si>
  <si>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</si>
  <si>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</si>
  <si>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</si>
  <si>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</si>
  <si>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</si>
  <si>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</si>
  <si>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</si>
  <si>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</si>
  <si>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</si>
  <si>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global short</t>
    <phoneticPr fontId="1"/>
  </si>
  <si>
    <t>global int</t>
    <phoneticPr fontId="1"/>
  </si>
  <si>
    <t>global long</t>
    <phoneticPr fontId="1"/>
  </si>
  <si>
    <t>global float</t>
    <phoneticPr fontId="1"/>
  </si>
  <si>
    <t>global double</t>
    <phoneticPr fontId="1"/>
  </si>
  <si>
    <t>volatile char c = 'a';</t>
    <phoneticPr fontId="1"/>
  </si>
  <si>
    <t>volatile short s = (-129);</t>
    <phoneticPr fontId="1"/>
  </si>
  <si>
    <t>volatile int l = (-32769);</t>
    <phoneticPr fontId="1"/>
  </si>
  <si>
    <t>volatile float f = (16777216);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</si>
  <si>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</si>
  <si>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</si>
  <si>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</si>
  <si>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</si>
  <si>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</si>
  <si>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l</t>
    <phoneticPr fontId="1"/>
  </si>
  <si>
    <t>f</t>
    <phoneticPr fontId="1"/>
  </si>
  <si>
    <t>volatile double d = (16777217);</t>
    <phoneticPr fontId="1"/>
  </si>
  <si>
    <t>d</t>
    <phoneticPr fontId="1"/>
  </si>
  <si>
    <t>test cmd</t>
    <phoneticPr fontId="1"/>
  </si>
  <si>
    <t>test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</si>
  <si>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</si>
  <si>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</si>
  <si>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</si>
  <si>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</si>
  <si>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</si>
  <si>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</si>
  <si>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</si>
  <si>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</si>
  <si>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</si>
  <si>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</si>
  <si>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</si>
  <si>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</si>
  <si>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</si>
  <si>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</si>
  <si>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</si>
  <si>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</si>
  <si>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</si>
  <si>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</si>
  <si>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</si>
  <si>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2_output_files\2_save_as_sort\{{ no_ext_file_name }}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</si>
  <si>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</si>
  <si>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</si>
  <si>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</si>
  <si>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</si>
  <si>
    <t>global string</t>
    <phoneticPr fontId="1"/>
  </si>
  <si>
    <t>volatile char str[] = "hello world";</t>
    <phoneticPr fontId="1"/>
  </si>
  <si>
    <t>str</t>
    <phoneticPr fontId="1"/>
  </si>
  <si>
    <t xml:space="preserve">#include &lt;stdio.h&gt;
{{ global_def }}
{{ main_func }}
</t>
    <phoneticPr fontId="1"/>
  </si>
  <si>
    <t>volatile int gi = (-32768);</t>
    <phoneticPr fontId="1"/>
  </si>
  <si>
    <t>gi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</si>
</sst>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0" fontId="0" fillId="2" borderId="8" xfId="0" applyFill="1" applyBorder="1" applyAlignment="1">
      <alignment vertical="center"/>
    </xf>
    <xf numFmtId="0" fontId="0" fillId="3" borderId="8" xfId="0" applyFill="1" applyBorder="1">
      <alignment vertical="center"/>
    </xf>
    <xf numFmtId="0" fontId="0" fillId="2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2" fillId="0" borderId="12" xfId="0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2" fillId="0" borderId="6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S21"/>
  <sheetViews>
    <sheetView tabSelected="1" workbookViewId="0">
      <pane ySplit="13" topLeftCell="A14" activePane="bottomLeft" state="frozen"/>
      <selection pane="bottomLeft" activeCell="A14" sqref="A14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9" x14ac:dyDescent="0.15">
      <c r="B1" s="31" t="s">
        <v>9</v>
      </c>
      <c r="C1" s="8" t="str">
        <f ca="1">IF(ISERROR(CELL("filename")),,getThisWorkbooksPath())</f>
        <v>E:\Python-gdbnaut\test</v>
      </c>
      <c r="F1" s="25" t="s">
        <v>43</v>
      </c>
      <c r="G1" s="27"/>
      <c r="H1" t="s">
        <v>54</v>
      </c>
    </row>
    <row r="2" spans="1:19" x14ac:dyDescent="0.15">
      <c r="B2" s="31" t="s">
        <v>55</v>
      </c>
      <c r="C2" s="27" t="s">
        <v>41</v>
      </c>
      <c r="G2" s="8"/>
      <c r="H2" t="s">
        <v>44</v>
      </c>
    </row>
    <row r="3" spans="1:19" x14ac:dyDescent="0.15">
      <c r="B3" s="31" t="s">
        <v>56</v>
      </c>
      <c r="C3" s="27" t="s">
        <v>42</v>
      </c>
      <c r="G3" s="24"/>
      <c r="H3" t="s">
        <v>45</v>
      </c>
    </row>
    <row r="4" spans="1:19" x14ac:dyDescent="0.15">
      <c r="C4" s="6"/>
    </row>
    <row r="5" spans="1:19" x14ac:dyDescent="0.15">
      <c r="A5" s="30" t="s">
        <v>36</v>
      </c>
      <c r="B5" s="18"/>
      <c r="C5" s="18" t="s">
        <v>7</v>
      </c>
      <c r="D5" s="29" t="s">
        <v>8</v>
      </c>
      <c r="E5" s="38" t="s">
        <v>57</v>
      </c>
      <c r="F5" s="39"/>
      <c r="G5" s="40"/>
    </row>
    <row r="6" spans="1:19" x14ac:dyDescent="0.15">
      <c r="A6" s="2"/>
      <c r="B6" s="32">
        <v>1</v>
      </c>
      <c r="C6" s="10" t="s">
        <v>23</v>
      </c>
      <c r="D6" s="8" t="str">
        <f ca="1">SUBSTITUTE($C$1&amp;"\"&amp;$C6,$C$5,"")</f>
        <v>E:\Python-gdbnaut\test\1_input_files\0_test_source\</v>
      </c>
      <c r="E6" s="3"/>
      <c r="F6" s="37" t="s">
        <v>46</v>
      </c>
      <c r="G6" s="34" t="b">
        <v>0</v>
      </c>
    </row>
    <row r="7" spans="1:19" x14ac:dyDescent="0.15">
      <c r="A7" s="2"/>
      <c r="B7" s="32">
        <v>2</v>
      </c>
      <c r="C7" s="10" t="s">
        <v>34</v>
      </c>
      <c r="D7" s="8" t="str">
        <f ca="1">SUBSTITUTE($C$1&amp;"\"&amp;$C7,$C$5,"")</f>
        <v>E:\Python-gdbnaut\test\1_input_files\1_bebug_builds\</v>
      </c>
      <c r="E7" s="2"/>
      <c r="F7" s="35" t="s">
        <v>47</v>
      </c>
      <c r="G7" s="10" t="b">
        <v>0</v>
      </c>
    </row>
    <row r="8" spans="1:19" x14ac:dyDescent="0.15">
      <c r="A8" s="2"/>
      <c r="B8" s="32">
        <v>3</v>
      </c>
      <c r="C8" s="10" t="s">
        <v>35</v>
      </c>
      <c r="D8" s="8" t="str">
        <f ca="1">SUBSTITUTE($C$1&amp;"\"&amp;$C8,$C$5,"")</f>
        <v>E:\Python-gdbnaut\test\2_output_files\1_save_as\</v>
      </c>
      <c r="E8" s="2"/>
      <c r="F8" s="35" t="s">
        <v>48</v>
      </c>
      <c r="G8" s="10" t="b">
        <v>0</v>
      </c>
    </row>
    <row r="9" spans="1:19" x14ac:dyDescent="0.15">
      <c r="A9" s="17"/>
      <c r="B9" s="33">
        <v>4</v>
      </c>
      <c r="C9" s="28" t="s">
        <v>53</v>
      </c>
      <c r="D9" s="8" t="str">
        <f ca="1">SUBSTITUTE($C$1&amp;"\"&amp;$C9,$C$5,"")</f>
        <v>E:\Python-gdbnaut\test\2_output_files\2_save_as_sort\</v>
      </c>
      <c r="E9" s="2"/>
      <c r="F9" s="35" t="str">
        <f>"Test "&amp;C2</f>
        <v>Test tester_script_1_for_gdbnaut.py</v>
      </c>
      <c r="G9" s="10" t="b">
        <v>0</v>
      </c>
    </row>
    <row r="10" spans="1:19" x14ac:dyDescent="0.15">
      <c r="A10" s="4"/>
      <c r="B10" s="4"/>
      <c r="C10" s="7"/>
      <c r="D10" s="5" t="b">
        <f>IF($G$6,makeDirs(D6:D9),FALSE)</f>
        <v>0</v>
      </c>
      <c r="E10" s="17"/>
      <c r="F10" s="36" t="str">
        <f>"Test "&amp;C3</f>
        <v>Test tester_script_2_for_gdbnaut_nogdb.py</v>
      </c>
      <c r="G10" s="28" t="b">
        <v>0</v>
      </c>
    </row>
    <row r="12" spans="1:19" ht="11.25" customHeight="1" x14ac:dyDescent="0.15">
      <c r="C12" s="47" t="s">
        <v>38</v>
      </c>
      <c r="D12" s="47"/>
      <c r="E12" s="23"/>
      <c r="F12" s="1"/>
      <c r="G12" s="44" t="s">
        <v>11</v>
      </c>
      <c r="H12" s="45"/>
      <c r="I12" s="46"/>
      <c r="J12" s="44" t="s">
        <v>12</v>
      </c>
      <c r="K12" s="45"/>
      <c r="L12" s="46"/>
      <c r="M12" s="44" t="str">
        <f>"test for "&amp;C2</f>
        <v>test for tester_script_1_for_gdbnaut.py</v>
      </c>
      <c r="N12" s="45"/>
      <c r="O12" s="46"/>
      <c r="P12" s="41" t="str">
        <f>"test for "&amp;C3</f>
        <v>test for tester_script_2_for_gdbnaut_nogdb.py</v>
      </c>
      <c r="Q12" s="42"/>
      <c r="R12" s="42"/>
      <c r="S12" s="43"/>
    </row>
    <row r="13" spans="1:19" x14ac:dyDescent="0.15">
      <c r="A13" s="9" t="s">
        <v>3</v>
      </c>
      <c r="B13" s="19" t="s">
        <v>37</v>
      </c>
      <c r="C13" s="9" t="s">
        <v>0</v>
      </c>
      <c r="D13" s="9" t="s">
        <v>2</v>
      </c>
      <c r="E13" s="21" t="s">
        <v>24</v>
      </c>
      <c r="F13" s="9" t="s">
        <v>6</v>
      </c>
      <c r="G13" s="9" t="s">
        <v>5</v>
      </c>
      <c r="H13" s="9" t="s">
        <v>50</v>
      </c>
      <c r="I13" s="9" t="s">
        <v>49</v>
      </c>
      <c r="J13" s="9" t="s">
        <v>5</v>
      </c>
      <c r="K13" s="9" t="s">
        <v>10</v>
      </c>
      <c r="L13" s="9" t="s">
        <v>13</v>
      </c>
      <c r="M13" s="9" t="s">
        <v>25</v>
      </c>
      <c r="N13" s="9" t="s">
        <v>32</v>
      </c>
      <c r="O13" s="9" t="s">
        <v>33</v>
      </c>
      <c r="P13" s="9" t="s">
        <v>52</v>
      </c>
      <c r="Q13" s="9" t="s">
        <v>51</v>
      </c>
      <c r="R13" s="9" t="s">
        <v>32</v>
      </c>
      <c r="S13" s="26" t="s">
        <v>33</v>
      </c>
    </row>
    <row r="14" spans="1:19" x14ac:dyDescent="0.15">
      <c r="A14" s="10">
        <v>1</v>
      </c>
      <c r="B14" s="20" t="s">
        <v>4</v>
      </c>
      <c r="C14" s="11" t="s">
        <v>19</v>
      </c>
      <c r="D14" s="12" t="str">
        <f>'codes templates'!$B$5</f>
        <v>int main(int argc,char *argv[])
{
 int i;
 for (i = 0; i &lt; argc; i++) {
  printf("argv[%d]:\"%s\"\n", i, argv[i]);
 }
 return 0;
}</v>
      </c>
      <c r="E14" s="22" t="s">
        <v>26</v>
      </c>
      <c r="F14" s="13" t="str">
        <f>TEXT(A14,"000")&amp;"_"&amp;SUBSTITUTE(B14," ","_")</f>
        <v>001_global_char</v>
      </c>
      <c r="G14" s="14" t="str">
        <f t="shared" ref="G14:G21" ca="1" si="0">$C$1&amp;"\"&amp;
 SUBSTITUTE(
   $C$6,
   $C$5,
   $F14&amp;".c"
 )</f>
        <v>E:\Python-gdbnaut\test\1_input_files\0_test_source\001_global_char.c</v>
      </c>
      <c r="H14" s="14" t="str">
        <f>SUBSTITUTE(SUBSTITUTE('codes templates'!$B$2,C$13,C14),D$13,D14)</f>
        <v xml:space="preserve">#include &lt;stdio.h&gt;
volatile char c = 'a';
int main(int argc,char *argv[])
{
 int i;
 for (i = 0; i &lt; argc; i++) {
  printf("argv[%d]:\"%s\"\n", i, argv[i]);
 }
 return 0;
}
</v>
      </c>
      <c r="I14" s="15" t="b">
        <f>IF($G$7,makeSourceFile(H14,G14),FALSE)</f>
        <v>0</v>
      </c>
      <c r="J14" s="14" t="str">
        <f t="shared" ref="J14:J21" ca="1" si="1">$C$1&amp;"\"&amp;
 SUBSTITUTE(
   $C$7,
   $C$5,
   $F14&amp;".exe"
 )</f>
        <v>E:\Python-gdbnaut\test\1_input_files\1_bebug_builds\001_global_char.exe</v>
      </c>
      <c r="K14" s="16" t="str">
        <f ca="1">"gcc"&amp;" "&amp;""""&amp;G14&amp;""""&amp;" -o "&amp;""""&amp;J14&amp;""""&amp;" -g -O0"</f>
        <v>gcc "E:\Python-gdbnaut\test\1_input_files\0_test_source\001_global_char.c" -o "E:\Python-gdbnaut\test\1_input_files\1_bebug_builds\001_global_char.exe" -g -O0</v>
      </c>
      <c r="L14" s="15" t="b">
        <f>IF($G$8,doDosCmd(K14),FALSE)</f>
        <v>0</v>
      </c>
      <c r="M14" s="14" t="str">
        <f t="shared" ref="M14:M19" si="2">SUBSTITUTE(SUBSTITUTE($C$8,"\","/"),$C$5,F14)&amp;".json"</f>
        <v>2_output_files/1_save_as/001_global_char.json</v>
      </c>
      <c r="N14" s="16" t="str">
        <f t="shared" ref="N14:N19" ca="1" si="3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"E:\Python-gdbnaut\test\1_input_files\1_bebug_builds\001_global_char.exe" -ex "set $symbol_name = \"c\"" -ex "set $out_path = \"2_output_files/1_save_as/001_global_char.json\"" -x "E:\Python-gdbnaut\test\tester_script_1_for_gdbnaut.py"</v>
      </c>
      <c r="O14" s="15" t="b">
        <f>IF($G$9,doDosCmd(N14),FALSE)</f>
        <v>0</v>
      </c>
      <c r="P14" s="14" t="str">
        <f>M14</f>
        <v>2_output_files/1_save_as/001_global_char.json</v>
      </c>
      <c r="Q14" s="16" t="str">
        <f t="shared" ref="Q14:Q19" si="4">SUBSTITUTE(SUBSTITUTE($C$9,"\","/"),$C$5,F14)&amp;".json"</f>
        <v>2_output_files/2_save_as_sort/001_global_char.json</v>
      </c>
      <c r="R14" s="16" t="str">
        <f ca="1">"cd /d"&amp;" "&amp;
 """"&amp;$C$1&amp;""""&amp;
 " &amp;&amp; "&amp;
 "python"&amp;" "&amp;
 """"&amp;$C$1&amp;"\"&amp;$C$3&amp;""""&amp;" "&amp;
 """"&amp;E14&amp;""""&amp;" "&amp;
 """"&amp;P14&amp;""""&amp;" "&amp;
 """"&amp;Q14&amp;""""</f>
        <v>cd /d "E:\Python-gdbnaut\test" &amp;&amp; python "E:\Python-gdbnaut\test\tester_script_2_for_gdbnaut_nogdb.py" "c" "2_output_files/1_save_as/001_global_char.json" "2_output_files/2_save_as_sort/001_global_char.json"</v>
      </c>
      <c r="S14" s="15" t="b">
        <f>IF($G$10,doDosCmd(R14),FALSE)</f>
        <v>0</v>
      </c>
    </row>
    <row r="15" spans="1:19" x14ac:dyDescent="0.15">
      <c r="A15" s="10">
        <v>2</v>
      </c>
      <c r="B15" s="20" t="s">
        <v>14</v>
      </c>
      <c r="C15" s="11" t="s">
        <v>20</v>
      </c>
      <c r="D15" s="12" t="str">
        <f>'codes templates'!$B$5</f>
        <v>int main(int argc,char *argv[])
{
 int i;
 for (i = 0; i &lt; argc; i++) {
  printf("argv[%d]:\"%s\"\n", i, argv[i]);
 }
 return 0;
}</v>
      </c>
      <c r="E15" s="22" t="s">
        <v>27</v>
      </c>
      <c r="F15" s="13" t="str">
        <f t="shared" ref="F15:F19" si="5">TEXT(A15,"000")&amp;"_"&amp;SUBSTITUTE(B15," ","_")</f>
        <v>002_global_short</v>
      </c>
      <c r="G15" s="14" t="str">
        <f t="shared" ca="1" si="0"/>
        <v>E:\Python-gdbnaut\test\1_input_files\0_test_source\002_global_short.c</v>
      </c>
      <c r="H15" s="14" t="str">
        <f>SUBSTITUTE(SUBSTITUTE('codes templates'!$B$2,C$13,C15),D$13,D15)</f>
        <v xml:space="preserve">#include &lt;stdio.h&gt;
volatile short s = (-129);
int main(int argc,char *argv[])
{
 int i;
 for (i = 0; i &lt; argc; i++) {
  printf("argv[%d]:\"%s\"\n", i, argv[i]);
 }
 return 0;
}
</v>
      </c>
      <c r="I15" s="15" t="b">
        <f>IF($G$7,makeSourceFile(H15,G15),FALSE)</f>
        <v>0</v>
      </c>
      <c r="J15" s="14" t="str">
        <f t="shared" ca="1" si="1"/>
        <v>E:\Python-gdbnaut\test\1_input_files\1_bebug_builds\002_global_short.exe</v>
      </c>
      <c r="K15" s="16" t="str">
        <f t="shared" ref="K15:K19" ca="1" si="6">"gcc"&amp;" "&amp;""""&amp;G15&amp;""""&amp;" -o "&amp;""""&amp;J15&amp;""""&amp;" -g -O0"</f>
        <v>gcc "E:\Python-gdbnaut\test\1_input_files\0_test_source\002_global_short.c" -o "E:\Python-gdbnaut\test\1_input_files\1_bebug_builds\002_global_short.exe" -g -O0</v>
      </c>
      <c r="L15" s="15" t="b">
        <f>IF($G$8,doDosCmd(K15),FALSE)</f>
        <v>0</v>
      </c>
      <c r="M15" s="14" t="str">
        <f t="shared" si="2"/>
        <v>2_output_files/1_save_as/002_global_short.json</v>
      </c>
      <c r="N15" s="16" t="str">
        <f t="shared" ca="1" si="3"/>
        <v>cd /d "E:\Python-gdbnaut\test" &amp;&amp; gdb "E:\Python-gdbnaut\test\1_input_files\1_bebug_builds\002_global_short.exe" -ex "set $symbol_name = \"s\"" -ex "set $out_path = \"2_output_files/1_save_as/002_global_short.json\"" -x "E:\Python-gdbnaut\test\tester_script_1_for_gdbnaut.py"</v>
      </c>
      <c r="O15" s="15" t="b">
        <f>IF($G$9,doDosCmd(N15),FALSE)</f>
        <v>0</v>
      </c>
      <c r="P15" s="14" t="str">
        <f t="shared" ref="P15:P19" si="7">M15</f>
        <v>2_output_files/1_save_as/002_global_short.json</v>
      </c>
      <c r="Q15" s="16" t="str">
        <f t="shared" si="4"/>
        <v>2_output_files/2_save_as_sort/002_global_short.json</v>
      </c>
      <c r="R15" s="16" t="str">
        <f t="shared" ref="R15:R19" ca="1" si="8">"cd /d"&amp;" "&amp;
 """"&amp;$C$1&amp;""""&amp;
 " &amp;&amp; "&amp;
 "python"&amp;" "&amp;
 """"&amp;$C$1&amp;"\"&amp;$C$3&amp;""""&amp;" "&amp;
 """"&amp;E15&amp;""""&amp;" "&amp;
 """"&amp;P15&amp;""""&amp;" "&amp;
 """"&amp;Q15&amp;""""</f>
        <v>cd /d "E:\Python-gdbnaut\test" &amp;&amp; python "E:\Python-gdbnaut\test\tester_script_2_for_gdbnaut_nogdb.py" "s" "2_output_files/1_save_as/002_global_short.json" "2_output_files/2_save_as_sort/002_global_short.json"</v>
      </c>
      <c r="S15" s="15" t="b">
        <f>IF($G$10,doDosCmd(R15),FALSE)</f>
        <v>0</v>
      </c>
    </row>
    <row r="16" spans="1:19" x14ac:dyDescent="0.15">
      <c r="A16" s="10">
        <v>3</v>
      </c>
      <c r="B16" s="20" t="s">
        <v>15</v>
      </c>
      <c r="C16" s="11" t="s">
        <v>62</v>
      </c>
      <c r="D16" s="12" t="str">
        <f>'codes templates'!$B$5</f>
        <v>int main(int argc,char *argv[])
{
 int i;
 for (i = 0; i &lt; argc; i++) {
  printf("argv[%d]:\"%s\"\n", i, argv[i]);
 }
 return 0;
}</v>
      </c>
      <c r="E16" s="22" t="s">
        <v>63</v>
      </c>
      <c r="F16" s="13" t="str">
        <f t="shared" si="5"/>
        <v>003_global_int</v>
      </c>
      <c r="G16" s="14" t="str">
        <f t="shared" ca="1" si="0"/>
        <v>E:\Python-gdbnaut\test\1_input_files\0_test_source\003_global_int.c</v>
      </c>
      <c r="H16" s="14" t="str">
        <f>SUBSTITUTE(SUBSTITUTE('codes templates'!$B$2,C$13,C16),D$13,D16)</f>
        <v xml:space="preserve">#include &lt;stdio.h&gt;
volatile int gi = (-32768);
int main(int argc,char *argv[])
{
 int i;
 for (i = 0; i &lt; argc; i++) {
  printf("argv[%d]:\"%s\"\n", i, argv[i]);
 }
 return 0;
}
</v>
      </c>
      <c r="I16" s="15" t="b">
        <f>IF($G$7,makeSourceFile(H16,G16),FALSE)</f>
        <v>0</v>
      </c>
      <c r="J16" s="14" t="str">
        <f t="shared" ca="1" si="1"/>
        <v>E:\Python-gdbnaut\test\1_input_files\1_bebug_builds\003_global_int.exe</v>
      </c>
      <c r="K16" s="16" t="str">
        <f t="shared" ca="1" si="6"/>
        <v>gcc "E:\Python-gdbnaut\test\1_input_files\0_test_source\003_global_int.c" -o "E:\Python-gdbnaut\test\1_input_files\1_bebug_builds\003_global_int.exe" -g -O0</v>
      </c>
      <c r="L16" s="15" t="b">
        <f>IF($G$8,doDosCmd(K16),FALSE)</f>
        <v>0</v>
      </c>
      <c r="M16" s="14" t="str">
        <f t="shared" si="2"/>
        <v>2_output_files/1_save_as/003_global_int.json</v>
      </c>
      <c r="N16" s="16" t="str">
        <f t="shared" ca="1" si="3"/>
        <v>cd /d "E:\Python-gdbnaut\test" &amp;&amp; gdb "E:\Python-gdbnaut\test\1_input_files\1_bebug_builds\003_global_int.exe" -ex "set $symbol_name = \"gi\"" -ex "set $out_path = \"2_output_files/1_save_as/003_global_int.json\"" -x "E:\Python-gdbnaut\test\tester_script_1_for_gdbnaut.py"</v>
      </c>
      <c r="O16" s="15" t="b">
        <f>IF($G$9,doDosCmd(N16),FALSE)</f>
        <v>0</v>
      </c>
      <c r="P16" s="14" t="str">
        <f t="shared" si="7"/>
        <v>2_output_files/1_save_as/003_global_int.json</v>
      </c>
      <c r="Q16" s="16" t="str">
        <f t="shared" si="4"/>
        <v>2_output_files/2_save_as_sort/003_global_int.json</v>
      </c>
      <c r="R16" s="16" t="str">
        <f t="shared" ca="1" si="8"/>
        <v>cd /d "E:\Python-gdbnaut\test" &amp;&amp; python "E:\Python-gdbnaut\test\tester_script_2_for_gdbnaut_nogdb.py" "gi" "2_output_files/1_save_as/003_global_int.json" "2_output_files/2_save_as_sort/003_global_int.json"</v>
      </c>
      <c r="S16" s="15" t="b">
        <f>IF($G$10,doDosCmd(R16),FALSE)</f>
        <v>0</v>
      </c>
    </row>
    <row r="17" spans="1:19" x14ac:dyDescent="0.15">
      <c r="A17" s="10">
        <v>4</v>
      </c>
      <c r="B17" s="20" t="s">
        <v>16</v>
      </c>
      <c r="C17" s="11" t="s">
        <v>21</v>
      </c>
      <c r="D17" s="12" t="str">
        <f>'codes templates'!$B$5</f>
        <v>int main(int argc,char *argv[])
{
 int i;
 for (i = 0; i &lt; argc; i++) {
  printf("argv[%d]:\"%s\"\n", i, argv[i]);
 }
 return 0;
}</v>
      </c>
      <c r="E17" s="22" t="s">
        <v>28</v>
      </c>
      <c r="F17" s="13" t="str">
        <f t="shared" si="5"/>
        <v>004_global_long</v>
      </c>
      <c r="G17" s="14" t="str">
        <f t="shared" ca="1" si="0"/>
        <v>E:\Python-gdbnaut\test\1_input_files\0_test_source\004_global_long.c</v>
      </c>
      <c r="H17" s="14" t="str">
        <f>SUBSTITUTE(SUBSTITUTE('codes templates'!$B$2,C$13,C17),D$13,D17)</f>
        <v xml:space="preserve">#include &lt;stdio.h&gt;
volatile int l = (-32769);
int main(int argc,char *argv[])
{
 int i;
 for (i = 0; i &lt; argc; i++) {
  printf("argv[%d]:\"%s\"\n", i, argv[i]);
 }
 return 0;
}
</v>
      </c>
      <c r="I17" s="15" t="b">
        <f>IF($G$7,makeSourceFile(H17,G17),FALSE)</f>
        <v>0</v>
      </c>
      <c r="J17" s="14" t="str">
        <f t="shared" ca="1" si="1"/>
        <v>E:\Python-gdbnaut\test\1_input_files\1_bebug_builds\004_global_long.exe</v>
      </c>
      <c r="K17" s="16" t="str">
        <f t="shared" ca="1" si="6"/>
        <v>gcc "E:\Python-gdbnaut\test\1_input_files\0_test_source\004_global_long.c" -o "E:\Python-gdbnaut\test\1_input_files\1_bebug_builds\004_global_long.exe" -g -O0</v>
      </c>
      <c r="L17" s="15" t="b">
        <f>IF($G$8,doDosCmd(K17),FALSE)</f>
        <v>0</v>
      </c>
      <c r="M17" s="14" t="str">
        <f t="shared" si="2"/>
        <v>2_output_files/1_save_as/004_global_long.json</v>
      </c>
      <c r="N17" s="16" t="str">
        <f t="shared" ca="1" si="3"/>
        <v>cd /d "E:\Python-gdbnaut\test" &amp;&amp; gdb "E:\Python-gdbnaut\test\1_input_files\1_bebug_builds\004_global_long.exe" -ex "set $symbol_name = \"l\"" -ex "set $out_path = \"2_output_files/1_save_as/004_global_long.json\"" -x "E:\Python-gdbnaut\test\tester_script_1_for_gdbnaut.py"</v>
      </c>
      <c r="O17" s="15" t="b">
        <f>IF($G$9,doDosCmd(N17),FALSE)</f>
        <v>0</v>
      </c>
      <c r="P17" s="14" t="str">
        <f t="shared" si="7"/>
        <v>2_output_files/1_save_as/004_global_long.json</v>
      </c>
      <c r="Q17" s="16" t="str">
        <f t="shared" si="4"/>
        <v>2_output_files/2_save_as_sort/004_global_long.json</v>
      </c>
      <c r="R17" s="16" t="str">
        <f t="shared" ca="1" si="8"/>
        <v>cd /d "E:\Python-gdbnaut\test" &amp;&amp; python "E:\Python-gdbnaut\test\tester_script_2_for_gdbnaut_nogdb.py" "l" "2_output_files/1_save_as/004_global_long.json" "2_output_files/2_save_as_sort/004_global_long.json"</v>
      </c>
      <c r="S17" s="15" t="b">
        <f>IF($G$10,doDosCmd(R17),FALSE)</f>
        <v>0</v>
      </c>
    </row>
    <row r="18" spans="1:19" x14ac:dyDescent="0.15">
      <c r="A18" s="10">
        <v>5</v>
      </c>
      <c r="B18" s="20" t="s">
        <v>17</v>
      </c>
      <c r="C18" s="10" t="s">
        <v>22</v>
      </c>
      <c r="D18" s="12" t="str">
        <f>'codes templates'!$B$5</f>
        <v>int main(int argc,char *argv[])
{
 int i;
 for (i = 0; i &lt; argc; i++) {
  printf("argv[%d]:\"%s\"\n", i, argv[i]);
 }
 return 0;
}</v>
      </c>
      <c r="E18" s="22" t="s">
        <v>29</v>
      </c>
      <c r="F18" s="13" t="str">
        <f t="shared" si="5"/>
        <v>005_global_float</v>
      </c>
      <c r="G18" s="14" t="str">
        <f t="shared" ca="1" si="0"/>
        <v>E:\Python-gdbnaut\test\1_input_files\0_test_source\005_global_float.c</v>
      </c>
      <c r="H18" s="14" t="str">
        <f>SUBSTITUTE(SUBSTITUTE('codes templates'!$B$2,C$13,C18),D$13,D18)</f>
        <v xml:space="preserve">#include &lt;stdio.h&gt;
volatile float f = (16777216);
int main(int argc,char *argv[])
{
 int i;
 for (i = 0; i &lt; argc; i++) {
  printf("argv[%d]:\"%s\"\n", i, argv[i]);
 }
 return 0;
}
</v>
      </c>
      <c r="I18" s="15" t="b">
        <f>IF($G$7,makeSourceFile(H18,G18),FALSE)</f>
        <v>0</v>
      </c>
      <c r="J18" s="14" t="str">
        <f t="shared" ca="1" si="1"/>
        <v>E:\Python-gdbnaut\test\1_input_files\1_bebug_builds\005_global_float.exe</v>
      </c>
      <c r="K18" s="16" t="str">
        <f t="shared" ca="1" si="6"/>
        <v>gcc "E:\Python-gdbnaut\test\1_input_files\0_test_source\005_global_float.c" -o "E:\Python-gdbnaut\test\1_input_files\1_bebug_builds\005_global_float.exe" -g -O0</v>
      </c>
      <c r="L18" s="15" t="b">
        <f>IF($G$8,doDosCmd(K18),FALSE)</f>
        <v>0</v>
      </c>
      <c r="M18" s="14" t="str">
        <f t="shared" si="2"/>
        <v>2_output_files/1_save_as/005_global_float.json</v>
      </c>
      <c r="N18" s="16" t="str">
        <f t="shared" ca="1" si="3"/>
        <v>cd /d "E:\Python-gdbnaut\test" &amp;&amp; gdb "E:\Python-gdbnaut\test\1_input_files\1_bebug_builds\005_global_float.exe" -ex "set $symbol_name = \"f\"" -ex "set $out_path = \"2_output_files/1_save_as/005_global_float.json\"" -x "E:\Python-gdbnaut\test\tester_script_1_for_gdbnaut.py"</v>
      </c>
      <c r="O18" s="15" t="b">
        <f>IF($G$9,doDosCmd(N18),FALSE)</f>
        <v>0</v>
      </c>
      <c r="P18" s="14" t="str">
        <f t="shared" si="7"/>
        <v>2_output_files/1_save_as/005_global_float.json</v>
      </c>
      <c r="Q18" s="16" t="str">
        <f t="shared" si="4"/>
        <v>2_output_files/2_save_as_sort/005_global_float.json</v>
      </c>
      <c r="R18" s="16" t="str">
        <f t="shared" ca="1" si="8"/>
        <v>cd /d "E:\Python-gdbnaut\test" &amp;&amp; python "E:\Python-gdbnaut\test\tester_script_2_for_gdbnaut_nogdb.py" "f" "2_output_files/1_save_as/005_global_float.json" "2_output_files/2_save_as_sort/005_global_float.json"</v>
      </c>
      <c r="S18" s="15" t="b">
        <f>IF($G$10,doDosCmd(R18),FALSE)</f>
        <v>0</v>
      </c>
    </row>
    <row r="19" spans="1:19" x14ac:dyDescent="0.15">
      <c r="A19" s="10">
        <v>6</v>
      </c>
      <c r="B19" s="20" t="s">
        <v>18</v>
      </c>
      <c r="C19" s="10" t="s">
        <v>30</v>
      </c>
      <c r="D19" s="12" t="str">
        <f>'codes templates'!$B$5</f>
        <v>int main(int argc,char *argv[])
{
 int i;
 for (i = 0; i &lt; argc; i++) {
  printf("argv[%d]:\"%s\"\n", i, argv[i]);
 }
 return 0;
}</v>
      </c>
      <c r="E19" s="22" t="s">
        <v>31</v>
      </c>
      <c r="F19" s="13" t="str">
        <f t="shared" si="5"/>
        <v>006_global_double</v>
      </c>
      <c r="G19" s="14" t="str">
        <f t="shared" ca="1" si="0"/>
        <v>E:\Python-gdbnaut\test\1_input_files\0_test_source\006_global_double.c</v>
      </c>
      <c r="H19" s="14" t="str">
        <f>SUBSTITUTE(SUBSTITUTE('codes templates'!$B$2,C$13,C19),D$13,D19)</f>
        <v xml:space="preserve">#include &lt;stdio.h&gt;
volatile double d = (16777217);
int main(int argc,char *argv[])
{
 int i;
 for (i = 0; i &lt; argc; i++) {
  printf("argv[%d]:\"%s\"\n", i, argv[i]);
 }
 return 0;
}
</v>
      </c>
      <c r="I19" s="15" t="b">
        <f>IF($G$7,makeSourceFile(H19,G19),FALSE)</f>
        <v>0</v>
      </c>
      <c r="J19" s="14" t="str">
        <f t="shared" ca="1" si="1"/>
        <v>E:\Python-gdbnaut\test\1_input_files\1_bebug_builds\006_global_double.exe</v>
      </c>
      <c r="K19" s="16" t="str">
        <f t="shared" ca="1" si="6"/>
        <v>gcc "E:\Python-gdbnaut\test\1_input_files\0_test_source\006_global_double.c" -o "E:\Python-gdbnaut\test\1_input_files\1_bebug_builds\006_global_double.exe" -g -O0</v>
      </c>
      <c r="L19" s="15" t="b">
        <f>IF($G$8,doDosCmd(K19),FALSE)</f>
        <v>0</v>
      </c>
      <c r="M19" s="14" t="str">
        <f t="shared" si="2"/>
        <v>2_output_files/1_save_as/006_global_double.json</v>
      </c>
      <c r="N19" s="16" t="str">
        <f t="shared" ca="1" si="3"/>
        <v>cd /d "E:\Python-gdbnaut\test" &amp;&amp; gdb "E:\Python-gdbnaut\test\1_input_files\1_bebug_builds\006_global_double.exe" -ex "set $symbol_name = \"d\"" -ex "set $out_path = \"2_output_files/1_save_as/006_global_double.json\"" -x "E:\Python-gdbnaut\test\tester_script_1_for_gdbnaut.py"</v>
      </c>
      <c r="O19" s="15" t="b">
        <f>IF($G$9,doDosCmd(N19),FALSE)</f>
        <v>0</v>
      </c>
      <c r="P19" s="14" t="str">
        <f t="shared" si="7"/>
        <v>2_output_files/1_save_as/006_global_double.json</v>
      </c>
      <c r="Q19" s="16" t="str">
        <f t="shared" si="4"/>
        <v>2_output_files/2_save_as_sort/006_global_double.json</v>
      </c>
      <c r="R19" s="16" t="str">
        <f t="shared" ca="1" si="8"/>
        <v>cd /d "E:\Python-gdbnaut\test" &amp;&amp; python "E:\Python-gdbnaut\test\tester_script_2_for_gdbnaut_nogdb.py" "d" "2_output_files/1_save_as/006_global_double.json" "2_output_files/2_save_as_sort/006_global_double.json"</v>
      </c>
      <c r="S19" s="15" t="b">
        <f>IF($G$10,doDosCmd(R19),FALSE)</f>
        <v>0</v>
      </c>
    </row>
    <row r="20" spans="1:19" x14ac:dyDescent="0.15">
      <c r="A20" s="10">
        <v>7</v>
      </c>
      <c r="B20" s="20" t="s">
        <v>58</v>
      </c>
      <c r="C20" s="10" t="s">
        <v>59</v>
      </c>
      <c r="D20" s="12" t="str">
        <f>'codes templates'!$B$5</f>
        <v>int main(int argc,char *argv[])
{
 int i;
 for (i = 0; i &lt; argc; i++) {
  printf("argv[%d]:\"%s\"\n", i, argv[i]);
 }
 return 0;
}</v>
      </c>
      <c r="E20" s="22" t="s">
        <v>60</v>
      </c>
      <c r="F20" s="13" t="str">
        <f t="shared" ref="F20" si="9">TEXT(A20,"000")&amp;"_"&amp;SUBSTITUTE(B20," ","_")</f>
        <v>007_global_string</v>
      </c>
      <c r="G20" s="14" t="str">
        <f t="shared" ca="1" si="0"/>
        <v>E:\Python-gdbnaut\test\1_input_files\0_test_source\007_global_string.c</v>
      </c>
      <c r="H20" s="14" t="str">
        <f>SUBSTITUTE(SUBSTITUTE('codes templates'!$B$2,C$13,C20),D$13,D20)</f>
        <v xml:space="preserve">#include &lt;stdio.h&gt;
volatile char str[] = "hello world";
int main(int argc,char *argv[])
{
 int i;
 for (i = 0; i &lt; argc; i++) {
  printf("argv[%d]:\"%s\"\n", i, argv[i]);
 }
 return 0;
}
</v>
      </c>
      <c r="I20" s="15" t="b">
        <f>IF($G$7,makeSourceFile(H20,G20),FALSE)</f>
        <v>0</v>
      </c>
      <c r="J20" s="14" t="str">
        <f t="shared" ca="1" si="1"/>
        <v>E:\Python-gdbnaut\test\1_input_files\1_bebug_builds\007_global_string.exe</v>
      </c>
      <c r="K20" s="16" t="str">
        <f t="shared" ref="K20" ca="1" si="10">"gcc"&amp;" "&amp;""""&amp;G20&amp;""""&amp;" -o "&amp;""""&amp;J20&amp;""""&amp;" -g -O0"</f>
        <v>gcc "E:\Python-gdbnaut\test\1_input_files\0_test_source\007_global_string.c" -o "E:\Python-gdbnaut\test\1_input_files\1_bebug_builds\007_global_string.exe" -g -O0</v>
      </c>
      <c r="L20" s="15" t="b">
        <f>IF($G$8,doDosCmd(K20),FALSE)</f>
        <v>0</v>
      </c>
      <c r="M20" s="14" t="str">
        <f t="shared" ref="M20" si="11">SUBSTITUTE(SUBSTITUTE($C$8,"\","/"),$C$5,F20)&amp;".json"</f>
        <v>2_output_files/1_save_as/007_global_string.json</v>
      </c>
      <c r="N20" s="16" t="str">
        <f t="shared" ref="N20" ca="1" si="12">"cd /d"&amp;" "&amp;
 """"&amp;$C$1&amp;""""&amp;
 " &amp;&amp; "&amp;
 "gdb"&amp;" "&amp;
 """"&amp;J20&amp;""""&amp;
 " -ex "&amp;
 """"&amp;"set"&amp;" "&amp;E$13&amp;" = \"""&amp;E20&amp;"\"""&amp;""""&amp;
 " -ex "&amp;
 """"&amp;"set"&amp;" "&amp;M$13&amp;" = \"""&amp;M20&amp;"\"""&amp;""""&amp;
 " -x "&amp;
 """"&amp;$C$1&amp;"\"&amp;$C$2&amp;""""</f>
        <v>cd /d "E:\Python-gdbnaut\test" &amp;&amp; gdb "E:\Python-gdbnaut\test\1_input_files\1_bebug_builds\007_global_string.exe" -ex "set $symbol_name = \"str\"" -ex "set $out_path = \"2_output_files/1_save_as/007_global_string.json\"" -x "E:\Python-gdbnaut\test\tester_script_1_for_gdbnaut.py"</v>
      </c>
      <c r="O20" s="15" t="b">
        <f>IF($G$9,doDosCmd(N20),FALSE)</f>
        <v>0</v>
      </c>
      <c r="P20" s="14" t="str">
        <f t="shared" ref="P20" si="13">M20</f>
        <v>2_output_files/1_save_as/007_global_string.json</v>
      </c>
      <c r="Q20" s="16" t="str">
        <f t="shared" ref="Q20" si="14">SUBSTITUTE(SUBSTITUTE($C$9,"\","/"),$C$5,F20)&amp;".json"</f>
        <v>2_output_files/2_save_as_sort/007_global_string.json</v>
      </c>
      <c r="R20" s="16" t="str">
        <f t="shared" ref="R20" ca="1" si="15">"cd /d"&amp;" "&amp;
 """"&amp;$C$1&amp;""""&amp;
 " &amp;&amp; "&amp;
 "python"&amp;" "&amp;
 """"&amp;$C$1&amp;"\"&amp;$C$3&amp;""""&amp;" "&amp;
 """"&amp;E20&amp;""""&amp;" "&amp;
 """"&amp;P20&amp;""""&amp;" "&amp;
 """"&amp;Q20&amp;""""</f>
        <v>cd /d "E:\Python-gdbnaut\test" &amp;&amp; python "E:\Python-gdbnaut\test\tester_script_2_for_gdbnaut_nogdb.py" "str" "2_output_files/1_save_as/007_global_string.json" "2_output_files/2_save_as_sort/007_global_string.json"</v>
      </c>
      <c r="S20" s="15" t="b">
        <f>IF($G$10,doDosCmd(R20),FALSE)</f>
        <v>0</v>
      </c>
    </row>
    <row r="21" spans="1:19" x14ac:dyDescent="0.15">
      <c r="A21" s="10"/>
      <c r="B21" s="20"/>
      <c r="C21" s="10"/>
      <c r="D21" s="12"/>
      <c r="E21" s="22"/>
      <c r="F21" s="13"/>
      <c r="G21" s="14"/>
      <c r="H21" s="14"/>
      <c r="I21" s="15"/>
      <c r="J21" s="14"/>
      <c r="K21" s="16"/>
      <c r="L21" s="15"/>
      <c r="M21" s="14"/>
      <c r="N21" s="16"/>
      <c r="O21" s="15"/>
      <c r="P21" s="14"/>
      <c r="Q21" s="16"/>
      <c r="R21" s="16"/>
      <c r="S21" s="15"/>
    </row>
  </sheetData>
  <mergeCells count="6">
    <mergeCell ref="E5:G5"/>
    <mergeCell ref="P12:S12"/>
    <mergeCell ref="G12:I12"/>
    <mergeCell ref="J12:L12"/>
    <mergeCell ref="C12:D12"/>
    <mergeCell ref="M12:O12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sheetPr codeName="Sheet2"/>
  <dimension ref="A1:B5"/>
  <sheetViews>
    <sheetView workbookViewId="0">
      <selection activeCell="B3" sqref="B3"/>
    </sheetView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29" t="s">
        <v>40</v>
      </c>
    </row>
    <row r="2" spans="1:2" ht="67.5" x14ac:dyDescent="0.15">
      <c r="B2" s="1" t="s">
        <v>61</v>
      </c>
    </row>
    <row r="4" spans="1:2" x14ac:dyDescent="0.15">
      <c r="A4" s="29" t="s">
        <v>39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2019-10-07T13:22:04Z</dcterms:modified>
</cp:coreProperties>
</file>