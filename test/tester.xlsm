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3A99F82D-F7D7-4104-A64F-2D9C6B1DA163}" xr6:coauthVersionLast="45" xr6:coauthVersionMax="45" xr10:uidLastSave="{00000000-0000-0000-0000-000000000000}"/>
  <bookViews>
    <workbookView xWindow="38550" yWindow="16515" windowWidth="30570" windowHeight="1522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7" i="1" l="1"/>
  <c r="F47" i="1"/>
  <c r="P47" i="1" s="1"/>
  <c r="H46" i="1"/>
  <c r="F46" i="1"/>
  <c r="M46" i="1" s="1"/>
  <c r="O46" i="1" s="1"/>
  <c r="H45" i="1"/>
  <c r="F45" i="1"/>
  <c r="P45" i="1" s="1"/>
  <c r="H44" i="1"/>
  <c r="F44" i="1"/>
  <c r="M44" i="1" s="1"/>
  <c r="O44" i="1" s="1"/>
  <c r="H43" i="1"/>
  <c r="F43" i="1"/>
  <c r="P43" i="1" s="1"/>
  <c r="H42" i="1"/>
  <c r="F42" i="1"/>
  <c r="M42" i="1" s="1"/>
  <c r="O42" i="1" s="1"/>
  <c r="H41" i="1"/>
  <c r="F41" i="1"/>
  <c r="P41" i="1" s="1"/>
  <c r="H40" i="1"/>
  <c r="F40" i="1"/>
  <c r="M40" i="1" s="1"/>
  <c r="O40" i="1" s="1"/>
  <c r="H39" i="1"/>
  <c r="F39" i="1"/>
  <c r="P39" i="1" s="1"/>
  <c r="D39" i="1"/>
  <c r="F38" i="1"/>
  <c r="P40" i="1" l="1"/>
  <c r="P42" i="1"/>
  <c r="P46" i="1"/>
  <c r="P44" i="1"/>
  <c r="M41" i="1"/>
  <c r="O41" i="1" s="1"/>
  <c r="M43" i="1"/>
  <c r="O43" i="1" s="1"/>
  <c r="M45" i="1"/>
  <c r="O45" i="1" s="1"/>
  <c r="M47" i="1"/>
  <c r="O47" i="1" s="1"/>
  <c r="M39" i="1"/>
  <c r="O39" i="1" s="1"/>
  <c r="M38" i="1"/>
  <c r="O38" i="1" s="1"/>
  <c r="P38" i="1"/>
  <c r="D38" i="1"/>
  <c r="H38" i="1" s="1"/>
  <c r="H37" i="1"/>
  <c r="F37" i="1"/>
  <c r="M37" i="1" s="1"/>
  <c r="O37" i="1" s="1"/>
  <c r="D37" i="1"/>
  <c r="F36" i="1"/>
  <c r="P36" i="1" s="1"/>
  <c r="D36" i="1"/>
  <c r="H36" i="1" s="1"/>
  <c r="F35" i="1"/>
  <c r="P35" i="1" s="1"/>
  <c r="D35" i="1"/>
  <c r="H35" i="1" s="1"/>
  <c r="F34" i="1"/>
  <c r="P34" i="1" s="1"/>
  <c r="D34" i="1"/>
  <c r="H34" i="1" s="1"/>
  <c r="F33" i="1"/>
  <c r="M33" i="1" s="1"/>
  <c r="O33" i="1" s="1"/>
  <c r="D33" i="1"/>
  <c r="H33" i="1" s="1"/>
  <c r="H32" i="1"/>
  <c r="F32" i="1"/>
  <c r="P32" i="1" s="1"/>
  <c r="D32" i="1"/>
  <c r="P37" i="1" l="1"/>
  <c r="M36" i="1"/>
  <c r="O36" i="1" s="1"/>
  <c r="M35" i="1"/>
  <c r="O35" i="1" s="1"/>
  <c r="M34" i="1"/>
  <c r="O34" i="1" s="1"/>
  <c r="P33" i="1"/>
  <c r="M32" i="1"/>
  <c r="O32" i="1" s="1"/>
  <c r="F31" i="1"/>
  <c r="P31" i="1" s="1"/>
  <c r="D31" i="1"/>
  <c r="H31" i="1" s="1"/>
  <c r="M31" i="1" l="1"/>
  <c r="O31" i="1" s="1"/>
  <c r="F30" i="1"/>
  <c r="P30" i="1" s="1"/>
  <c r="D30" i="1"/>
  <c r="H30" i="1" s="1"/>
  <c r="F29" i="1"/>
  <c r="P29" i="1" s="1"/>
  <c r="D29" i="1"/>
  <c r="H29" i="1" s="1"/>
  <c r="F28" i="1"/>
  <c r="M28" i="1" s="1"/>
  <c r="O28" i="1" s="1"/>
  <c r="D28" i="1"/>
  <c r="H28" i="1" s="1"/>
  <c r="F27" i="1"/>
  <c r="P27" i="1" s="1"/>
  <c r="D27" i="1"/>
  <c r="H27" i="1" s="1"/>
  <c r="F26" i="1"/>
  <c r="M26" i="1" s="1"/>
  <c r="O26" i="1" s="1"/>
  <c r="D26" i="1"/>
  <c r="H26" i="1" s="1"/>
  <c r="M30" i="1" l="1"/>
  <c r="O30" i="1" s="1"/>
  <c r="M29" i="1"/>
  <c r="O29" i="1" s="1"/>
  <c r="P28" i="1"/>
  <c r="M27" i="1"/>
  <c r="O27" i="1" s="1"/>
  <c r="P26" i="1"/>
  <c r="F25" i="1"/>
  <c r="P25" i="1" s="1"/>
  <c r="H24" i="1"/>
  <c r="F24" i="1"/>
  <c r="M24" i="1" s="1"/>
  <c r="O24" i="1" s="1"/>
  <c r="D25" i="1"/>
  <c r="H25" i="1" s="1"/>
  <c r="D24" i="1"/>
  <c r="P24" i="1" l="1"/>
  <c r="M25" i="1"/>
  <c r="O25" i="1" s="1"/>
  <c r="F23" i="1"/>
  <c r="P23" i="1" s="1"/>
  <c r="F22" i="1"/>
  <c r="M22" i="1" s="1"/>
  <c r="O22" i="1" s="1"/>
  <c r="D23" i="1"/>
  <c r="H23" i="1" s="1"/>
  <c r="D22" i="1"/>
  <c r="H22" i="1" s="1"/>
  <c r="F21" i="1"/>
  <c r="P21" i="1" s="1"/>
  <c r="D21" i="1"/>
  <c r="H21" i="1" s="1"/>
  <c r="F20" i="1"/>
  <c r="M20" i="1" s="1"/>
  <c r="O20" i="1" s="1"/>
  <c r="D20" i="1"/>
  <c r="H20" i="1" s="1"/>
  <c r="F19" i="1"/>
  <c r="P19" i="1" s="1"/>
  <c r="F18" i="1"/>
  <c r="M18" i="1" s="1"/>
  <c r="O18" i="1" s="1"/>
  <c r="F17" i="1"/>
  <c r="P17" i="1" s="1"/>
  <c r="D19" i="1"/>
  <c r="H19" i="1" s="1"/>
  <c r="D18" i="1"/>
  <c r="H18" i="1" s="1"/>
  <c r="D17" i="1"/>
  <c r="H17" i="1" s="1"/>
  <c r="D15" i="1"/>
  <c r="D16" i="1"/>
  <c r="C40" i="1"/>
  <c r="D40" i="1"/>
  <c r="C41" i="1"/>
  <c r="D41" i="1"/>
  <c r="C42" i="1"/>
  <c r="D42" i="1"/>
  <c r="D43" i="1"/>
  <c r="D44" i="1"/>
  <c r="D45" i="1"/>
  <c r="D46" i="1"/>
  <c r="D47" i="1"/>
  <c r="P22" i="1" l="1"/>
  <c r="M23" i="1"/>
  <c r="O23" i="1" s="1"/>
  <c r="M21" i="1"/>
  <c r="O21" i="1" s="1"/>
  <c r="P20" i="1"/>
  <c r="P18" i="1"/>
  <c r="M17" i="1"/>
  <c r="O17" i="1" s="1"/>
  <c r="M19" i="1"/>
  <c r="O19" i="1" s="1"/>
  <c r="O12" i="1"/>
  <c r="F10" i="1"/>
  <c r="M12" i="1"/>
  <c r="F9" i="1"/>
  <c r="D14" i="1"/>
  <c r="H14" i="1" s="1"/>
  <c r="F16" i="1" l="1"/>
  <c r="H16" i="1"/>
  <c r="F15" i="1"/>
  <c r="H15" i="1"/>
  <c r="M16" i="1" l="1"/>
  <c r="O16" i="1" s="1"/>
  <c r="P16" i="1"/>
  <c r="M15" i="1"/>
  <c r="O15" i="1" s="1"/>
  <c r="P15" i="1"/>
  <c r="F14" i="1"/>
  <c r="C1" i="1"/>
  <c r="Q47" i="1" l="1"/>
  <c r="Q45" i="1"/>
  <c r="Q43" i="1"/>
  <c r="Q41" i="1"/>
  <c r="J44" i="1"/>
  <c r="N44" i="1" s="1"/>
  <c r="J42" i="1"/>
  <c r="N42" i="1" s="1"/>
  <c r="J40" i="1"/>
  <c r="N40" i="1" s="1"/>
  <c r="J41" i="1"/>
  <c r="N41" i="1" s="1"/>
  <c r="G47" i="1"/>
  <c r="G45" i="1"/>
  <c r="G43" i="1"/>
  <c r="G41" i="1"/>
  <c r="J46" i="1"/>
  <c r="N46" i="1" s="1"/>
  <c r="Q46" i="1"/>
  <c r="Q44" i="1"/>
  <c r="Q42" i="1"/>
  <c r="Q40" i="1"/>
  <c r="G46" i="1"/>
  <c r="G44" i="1"/>
  <c r="G42" i="1"/>
  <c r="G40" i="1"/>
  <c r="J45" i="1"/>
  <c r="N45" i="1" s="1"/>
  <c r="J43" i="1"/>
  <c r="N43" i="1" s="1"/>
  <c r="J47" i="1"/>
  <c r="N47" i="1" s="1"/>
  <c r="Q39" i="1"/>
  <c r="G39" i="1"/>
  <c r="J39" i="1"/>
  <c r="N39" i="1" s="1"/>
  <c r="G38" i="1"/>
  <c r="Q38" i="1"/>
  <c r="J38" i="1"/>
  <c r="N38" i="1" s="1"/>
  <c r="G37" i="1"/>
  <c r="J37" i="1"/>
  <c r="N37" i="1" s="1"/>
  <c r="Q37" i="1"/>
  <c r="Q36" i="1"/>
  <c r="G36" i="1"/>
  <c r="J36" i="1"/>
  <c r="N36" i="1" s="1"/>
  <c r="Q35" i="1"/>
  <c r="G35" i="1"/>
  <c r="J35" i="1"/>
  <c r="N35" i="1" s="1"/>
  <c r="Q34" i="1"/>
  <c r="G34" i="1"/>
  <c r="J34" i="1"/>
  <c r="N34" i="1" s="1"/>
  <c r="G33" i="1"/>
  <c r="Q33" i="1"/>
  <c r="J33" i="1"/>
  <c r="N33" i="1" s="1"/>
  <c r="Q32" i="1"/>
  <c r="G32" i="1"/>
  <c r="J32" i="1"/>
  <c r="N32" i="1" s="1"/>
  <c r="Q31" i="1"/>
  <c r="G31" i="1"/>
  <c r="J31" i="1"/>
  <c r="N31" i="1" s="1"/>
  <c r="Q30" i="1"/>
  <c r="G30" i="1"/>
  <c r="J30" i="1"/>
  <c r="N30" i="1" s="1"/>
  <c r="G29" i="1"/>
  <c r="J29" i="1"/>
  <c r="N29" i="1" s="1"/>
  <c r="Q29" i="1"/>
  <c r="G28" i="1"/>
  <c r="J28" i="1"/>
  <c r="N28" i="1" s="1"/>
  <c r="Q28" i="1"/>
  <c r="Q27" i="1"/>
  <c r="G27" i="1"/>
  <c r="J27" i="1"/>
  <c r="N27" i="1" s="1"/>
  <c r="G26" i="1"/>
  <c r="Q26" i="1"/>
  <c r="J26" i="1"/>
  <c r="N26" i="1" s="1"/>
  <c r="Q25" i="1"/>
  <c r="G25" i="1"/>
  <c r="J24" i="1"/>
  <c r="N24" i="1" s="1"/>
  <c r="Q24" i="1"/>
  <c r="G24" i="1"/>
  <c r="J25" i="1"/>
  <c r="N25" i="1" s="1"/>
  <c r="Q23" i="1"/>
  <c r="J22" i="1"/>
  <c r="N22" i="1" s="1"/>
  <c r="J23" i="1"/>
  <c r="N23" i="1" s="1"/>
  <c r="G23" i="1"/>
  <c r="Q22" i="1"/>
  <c r="G22" i="1"/>
  <c r="Q21" i="1"/>
  <c r="G21" i="1"/>
  <c r="J21" i="1"/>
  <c r="N21" i="1" s="1"/>
  <c r="G20" i="1"/>
  <c r="J20" i="1"/>
  <c r="N20" i="1" s="1"/>
  <c r="Q20" i="1"/>
  <c r="Q19" i="1"/>
  <c r="Q17" i="1"/>
  <c r="G19" i="1"/>
  <c r="G17" i="1"/>
  <c r="J18" i="1"/>
  <c r="N18" i="1" s="1"/>
  <c r="Q18" i="1"/>
  <c r="J17" i="1"/>
  <c r="N17" i="1" s="1"/>
  <c r="G18" i="1"/>
  <c r="J19" i="1"/>
  <c r="N19" i="1" s="1"/>
  <c r="M14" i="1"/>
  <c r="O14" i="1" s="1"/>
  <c r="P14" i="1"/>
  <c r="Q16" i="1"/>
  <c r="Q15" i="1"/>
  <c r="D9" i="1"/>
  <c r="D8" i="1"/>
  <c r="D7" i="1"/>
  <c r="D6" i="1"/>
  <c r="G16" i="1"/>
  <c r="G15" i="1"/>
  <c r="J15" i="1"/>
  <c r="N15" i="1" s="1"/>
  <c r="J16" i="1"/>
  <c r="N16" i="1" s="1"/>
  <c r="J14" i="1"/>
  <c r="G14" i="1"/>
  <c r="I22" i="1"/>
  <c r="I21" i="1"/>
  <c r="I46" i="1"/>
  <c r="I24" i="1"/>
  <c r="I29" i="1"/>
  <c r="I32" i="1"/>
  <c r="I26" i="1"/>
  <c r="I27" i="1"/>
  <c r="I30" i="1"/>
  <c r="I44" i="1"/>
  <c r="I38" i="1"/>
  <c r="I41" i="1"/>
  <c r="I16" i="1"/>
  <c r="I23" i="1"/>
  <c r="I17" i="1"/>
  <c r="I14" i="1"/>
  <c r="I43" i="1"/>
  <c r="I28" i="1"/>
  <c r="I33" i="1"/>
  <c r="I42" i="1"/>
  <c r="I25" i="1"/>
  <c r="I45" i="1"/>
  <c r="I37" i="1"/>
  <c r="I36" i="1"/>
  <c r="I47" i="1"/>
  <c r="I35" i="1"/>
  <c r="I20" i="1"/>
  <c r="I34" i="1"/>
  <c r="I18" i="1"/>
  <c r="I19" i="1"/>
  <c r="I15" i="1"/>
  <c r="I40" i="1"/>
  <c r="I39" i="1"/>
  <c r="I31" i="1"/>
  <c r="D10" i="1"/>
  <c r="K40" i="1" l="1"/>
  <c r="K44" i="1"/>
  <c r="K42" i="1"/>
  <c r="K46" i="1"/>
  <c r="K41" i="1"/>
  <c r="K43" i="1"/>
  <c r="K45" i="1"/>
  <c r="K47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4" i="1"/>
  <c r="K25" i="1"/>
  <c r="K22" i="1"/>
  <c r="K23" i="1"/>
  <c r="K21" i="1"/>
  <c r="K20" i="1"/>
  <c r="K18" i="1"/>
  <c r="K17" i="1"/>
  <c r="K19" i="1"/>
  <c r="Q14" i="1"/>
  <c r="N14" i="1"/>
  <c r="K16" i="1"/>
  <c r="K14" i="1"/>
  <c r="K15" i="1"/>
  <c r="L21" i="1"/>
  <c r="L39" i="1"/>
  <c r="L29" i="1"/>
  <c r="L17" i="1"/>
  <c r="L40" i="1"/>
  <c r="L41" i="1"/>
  <c r="L44" i="1"/>
  <c r="L25" i="1"/>
  <c r="L36" i="1"/>
  <c r="L19" i="1"/>
  <c r="L46" i="1"/>
  <c r="L45" i="1"/>
  <c r="L34" i="1"/>
  <c r="L32" i="1"/>
  <c r="L26" i="1"/>
  <c r="L20" i="1"/>
  <c r="L28" i="1"/>
  <c r="L27" i="1"/>
  <c r="L38" i="1"/>
  <c r="L37" i="1"/>
  <c r="L43" i="1"/>
  <c r="L16" i="1"/>
  <c r="L47" i="1"/>
  <c r="L14" i="1"/>
  <c r="L30" i="1"/>
  <c r="L33" i="1"/>
  <c r="L35" i="1"/>
  <c r="L42" i="1"/>
  <c r="L18" i="1"/>
  <c r="L24" i="1"/>
  <c r="L23" i="1"/>
  <c r="L15" i="1"/>
  <c r="L31" i="1"/>
  <c r="L22" i="1"/>
</calcChain>
</file>

<file path=xl/sharedStrings.xml><?xml version="1.0" encoding="utf-8"?>
<sst xmlns="http://schemas.openxmlformats.org/spreadsheetml/2006/main" count="147" uniqueCount="124">
  <si>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</si>
  <si>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</si>
  <si>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</si>
  <si>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</si>
  <si>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</si>
  <si>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</si>
  <si>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</si>
  <si>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</si>
  <si>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</si>
  <si>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</si>
  <si>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</si>
  <si>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</si>
  <si>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</si>
  <si>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</si>
  <si>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</si>
  <si>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</si>
  <si>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</si>
  <si>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</si>
  <si>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f</t>
    <phoneticPr fontId="1"/>
  </si>
  <si>
    <t>d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</si>
  <si>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</si>
  <si>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</si>
  <si>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</si>
  <si>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</si>
  <si>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</si>
  <si>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</si>
  <si>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</si>
  <si>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</si>
  <si>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</si>
  <si>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</si>
  <si>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</si>
  <si>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</si>
  <si>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</si>
  <si>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</si>
  <si>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</si>
  <si>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</si>
  <si>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</si>
  <si>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</si>
  <si>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</si>
  <si>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</si>
  <si>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</si>
  <si>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</si>
  <si>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</si>
  <si>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str</t>
    <phoneticPr fontId="1"/>
  </si>
  <si>
    <t xml:space="preserve">#include &lt;stdio.h&gt;
{{ global_def }}
{{ main_func }}
</t>
    <phoneticPr fontId="1"/>
  </si>
  <si>
    <t>gi</t>
    <phoneticPr fontId="1"/>
  </si>
  <si>
    <t>main function</t>
    <phoneticPr fontId="1"/>
  </si>
  <si>
    <t>main</t>
    <phoneticPr fontId="1"/>
  </si>
  <si>
    <t>cmd</t>
    <phoneticPr fontId="1"/>
  </si>
  <si>
    <t>To run this process,</t>
    <phoneticPr fontId="1"/>
  </si>
  <si>
    <t xml:space="preserve">use this commands to command prompt -&gt;
</t>
    <phoneticPr fontId="1"/>
  </si>
  <si>
    <t>funcp</t>
    <phoneticPr fontId="1"/>
  </si>
  <si>
    <t>argc</t>
    <phoneticPr fontId="1"/>
  </si>
  <si>
    <t>argv</t>
    <phoneticPr fontId="1"/>
  </si>
  <si>
    <t>argument1</t>
    <phoneticPr fontId="1"/>
  </si>
  <si>
    <t>argument2</t>
    <phoneticPr fontId="1"/>
  </si>
  <si>
    <t>void func_void(void){
    return;
}
void (*funcp)(void) = func_void;</t>
    <phoneticPr fontId="1"/>
  </si>
  <si>
    <t>function pointer1</t>
    <phoneticPr fontId="1"/>
  </si>
  <si>
    <t>function pointer2</t>
    <phoneticPr fontId="1"/>
  </si>
  <si>
    <t>function pointer3</t>
    <phoneticPr fontId="1"/>
  </si>
  <si>
    <t>function pointer4</t>
    <phoneticPr fontId="1"/>
  </si>
  <si>
    <t>void func_void(void){
    return;
}
void (*funcp)() = func_void;</t>
    <phoneticPr fontId="1"/>
  </si>
  <si>
    <t>void func_void(void){
    return;
}
void (*funcp) = func_void;</t>
    <phoneticPr fontId="1"/>
  </si>
  <si>
    <t>void func_void(void){
    return;
}
void *funcp = func_void;</t>
    <phoneticPr fontId="1"/>
  </si>
  <si>
    <t>int addition(int x, char y) {
    return (x + y);
}
int (*funcp)(int, char) = addition;</t>
    <phoneticPr fontId="1"/>
  </si>
  <si>
    <t>function pointer5</t>
    <phoneticPr fontId="1"/>
  </si>
  <si>
    <t>typedef char sint8;
volatile const sint8 c = 'a';</t>
    <phoneticPr fontId="1"/>
  </si>
  <si>
    <t>typedef unsigned char uint8;
volatile const uint8 c = 'a';</t>
    <phoneticPr fontId="1"/>
  </si>
  <si>
    <t>signed char</t>
    <phoneticPr fontId="1"/>
  </si>
  <si>
    <t>signed short</t>
    <phoneticPr fontId="1"/>
  </si>
  <si>
    <t>unsigned char</t>
    <phoneticPr fontId="1"/>
  </si>
  <si>
    <t>unsigned short</t>
    <phoneticPr fontId="1"/>
  </si>
  <si>
    <t>typedef unsigned short uint16;
volatile const uint16 s = (257);</t>
    <phoneticPr fontId="1"/>
  </si>
  <si>
    <t>typedef short sint16;
volatile const sint16 s = (-129);</t>
    <phoneticPr fontId="1"/>
  </si>
  <si>
    <t>signed int</t>
    <phoneticPr fontId="1"/>
  </si>
  <si>
    <t>unsigned int</t>
    <phoneticPr fontId="1"/>
  </si>
  <si>
    <t>signed long</t>
    <phoneticPr fontId="1"/>
  </si>
  <si>
    <t>unsigned long</t>
    <phoneticPr fontId="1"/>
  </si>
  <si>
    <t>typedef int sint32;
volatile const sint32 gi = (-32769);</t>
    <phoneticPr fontId="1"/>
  </si>
  <si>
    <t>typedef unsigned int uint32;
volatile const uint32 gi = (65537);</t>
    <phoneticPr fontId="1"/>
  </si>
  <si>
    <t>typedef long sint64;
volatile const sint64 gi = (-2147483649);</t>
    <phoneticPr fontId="1"/>
  </si>
  <si>
    <t>typedef unsigned long uint64;
volatile const uint64 gi = (4294967297);</t>
    <phoneticPr fontId="1"/>
  </si>
  <si>
    <t>signed long long</t>
    <phoneticPr fontId="1"/>
  </si>
  <si>
    <t>typedef long long sint64;
volatile const sint64 gi = (-2147483649);</t>
    <phoneticPr fontId="1"/>
  </si>
  <si>
    <t>unsigned long long</t>
    <phoneticPr fontId="1"/>
  </si>
  <si>
    <t>float</t>
    <phoneticPr fontId="1"/>
  </si>
  <si>
    <t>double</t>
    <phoneticPr fontId="1"/>
  </si>
  <si>
    <t>typedef float float32;
volatile const float32 f = (16777216.0F);</t>
    <phoneticPr fontId="1"/>
  </si>
  <si>
    <t>typedef double float64;
volatile const float64 d = (16777216.0F);</t>
    <phoneticPr fontId="1"/>
  </si>
  <si>
    <t>string</t>
    <phoneticPr fontId="1"/>
  </si>
  <si>
    <t>typedef char sint8;
volatile const sint8 str[] = "hello world";</t>
    <phoneticPr fontId="1"/>
  </si>
  <si>
    <t>pointer and double pointer</t>
    <phoneticPr fontId="1"/>
  </si>
  <si>
    <t>cpp</t>
    <phoneticPr fontId="1"/>
  </si>
  <si>
    <t>typedef char sint8;
volatile const sint8 c = (-1);
volatile const sint8 *cp = &amp;c;
volatile const sint8 **cpp = &amp;cp;</t>
    <phoneticPr fontId="1"/>
  </si>
  <si>
    <t>typedef struct{
    char c0;
    char c1;
}st_t;
volatile const st_t t = {
    (-1),
    1
};</t>
    <phoneticPr fontId="1"/>
  </si>
  <si>
    <t>t</t>
    <phoneticPr fontId="1"/>
  </si>
  <si>
    <t>typedef struct st{
    char c0;
    char c1;
}st_t;
volatile const st_t t = {
    (-1),
    1
};</t>
    <phoneticPr fontId="1"/>
  </si>
  <si>
    <t>struct</t>
    <phoneticPr fontId="1"/>
  </si>
  <si>
    <t>struct by typedef</t>
    <phoneticPr fontId="1"/>
  </si>
  <si>
    <t>struct by typedef with name</t>
    <phoneticPr fontId="1"/>
  </si>
  <si>
    <t>struct st{
    char c0;
    char c1;
}st_t;
volatile const struct st t = {
    (-1),
    1
};</t>
    <phoneticPr fontId="1"/>
  </si>
  <si>
    <t>union</t>
    <phoneticPr fontId="1"/>
  </si>
  <si>
    <t>enum</t>
    <phoneticPr fontId="1"/>
  </si>
  <si>
    <t>struct in struct</t>
    <phoneticPr fontId="1"/>
  </si>
  <si>
    <t>ss</t>
    <phoneticPr fontId="1"/>
  </si>
  <si>
    <t>typedef struct{
    char c0;
    char c1;
}st_t;
typedef struct{
    int i0;
    st_t s;
    float f;
}st_super;
volatile const st_super ss = {
    (-1),
    {
        (-2),
        2
    },
    (-0.5F)
};</t>
    <phoneticPr fontId="1"/>
  </si>
  <si>
    <t>union by typedef</t>
    <phoneticPr fontId="1"/>
  </si>
  <si>
    <t>typedef union{
    unsigned char uint8;
    char sint8;
}int8;
volatile const int8 c = {(char)(-1)};</t>
    <phoneticPr fontId="1"/>
  </si>
  <si>
    <t>union by typedef with name</t>
    <phoneticPr fontId="1"/>
  </si>
  <si>
    <t>typedef union i8{
    unsigned char uint8;
    char sint8;
}int8;
volatile const int8 c = {(char)(-1)};</t>
    <phoneticPr fontId="1"/>
  </si>
  <si>
    <t>union i8{
    unsigned char uint8;
    char sint8;
};
volatile const union i8 c = {(char)(-1)};</t>
    <phoneticPr fontId="1"/>
  </si>
  <si>
    <t>union in union</t>
    <phoneticPr fontId="1"/>
  </si>
  <si>
    <t>typedef union{
    unsigned char uint8;
    char sint8;
}int8;
typedef union{
    unsigned short uint16;
    short sint16;
}int16;
typedef union{
    int16 i16;
    int8 i8_array[2];
}size16;
volatile const size16 c = {(unsigned short)(255U)};</t>
    <phoneticPr fontId="1"/>
  </si>
  <si>
    <t>enum by typedef</t>
    <phoneticPr fontId="1"/>
  </si>
  <si>
    <t>enum by typedef with name</t>
    <phoneticPr fontId="1"/>
  </si>
  <si>
    <t>typedef enum{
  Mon = 1,
  Tue,
  Wed,
  Thu,
  Fri,
  Sat = 11,
  Sun
}wk;
volatile const wk week1 = Tue;</t>
    <phoneticPr fontId="1"/>
  </si>
  <si>
    <t>week1</t>
    <phoneticPr fontId="1"/>
  </si>
  <si>
    <t>typedef enum e_wk{
  Mon = 1,
  Tue,
  Wed,
  Thu,
  Fri,
  Sat = 11,
  Sun
}wk;
volatile const wk week1 = Tue;</t>
    <phoneticPr fontId="1"/>
  </si>
  <si>
    <t>enum e_wk{
  Mon = 1,
  Tue,
  Wed,
  Thu,
  Fri,
  Sat = 11,
  Sun
};
volatile const enum e_wk week1 = Tue;</t>
    <phoneticPr fontId="1"/>
  </si>
  <si>
    <t>mix</t>
    <phoneticPr fontId="1"/>
  </si>
  <si>
    <t>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</t>
  </si>
  <si>
    <t>gsym0_t_st_0</t>
    <phoneticPr fontId="1"/>
  </si>
  <si>
    <t>typedef unsigned long long uint64;
volatile const uint64 gi = (4294967297);</t>
    <phoneticPr fontId="1"/>
  </si>
  <si>
    <t>2_output_files\2_address_ignored\{{ no_ext_file_name }}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</si>
</sst>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hh:mm:ss"/>
  </numFmts>
  <fonts count="4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6" xfId="0" applyFill="1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>
      <alignment vertical="center"/>
    </xf>
    <xf numFmtId="0" fontId="0" fillId="3" borderId="16" xfId="0" applyFill="1" applyBorder="1">
      <alignment vertical="center"/>
    </xf>
    <xf numFmtId="0" fontId="0" fillId="4" borderId="19" xfId="0" applyFill="1" applyBorder="1">
      <alignment vertical="center"/>
    </xf>
    <xf numFmtId="0" fontId="0" fillId="4" borderId="20" xfId="0" applyFill="1" applyBorder="1">
      <alignment vertical="center"/>
    </xf>
    <xf numFmtId="0" fontId="0" fillId="4" borderId="19" xfId="0" applyFill="1" applyBorder="1" applyAlignment="1">
      <alignment vertical="center" wrapText="1"/>
    </xf>
    <xf numFmtId="0" fontId="0" fillId="4" borderId="19" xfId="0" applyFill="1" applyBorder="1" applyAlignment="1">
      <alignment vertical="center"/>
    </xf>
    <xf numFmtId="0" fontId="0" fillId="4" borderId="21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2" borderId="19" xfId="0" applyFill="1" applyBorder="1" applyAlignment="1">
      <alignment vertical="center"/>
    </xf>
    <xf numFmtId="176" fontId="0" fillId="3" borderId="19" xfId="0" applyNumberFormat="1" applyFill="1" applyBorder="1">
      <alignment vertical="center"/>
    </xf>
    <xf numFmtId="0" fontId="0" fillId="2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4" borderId="19" xfId="0" quotePrefix="1" applyFill="1" applyBorder="1">
      <alignment vertical="center"/>
    </xf>
    <xf numFmtId="0" fontId="0" fillId="4" borderId="19" xfId="0" quotePrefix="1" applyFill="1" applyBorder="1" applyAlignment="1">
      <alignment vertical="center" wrapText="1"/>
    </xf>
    <xf numFmtId="0" fontId="0" fillId="4" borderId="22" xfId="0" applyFill="1" applyBorder="1">
      <alignment vertical="center"/>
    </xf>
    <xf numFmtId="0" fontId="0" fillId="4" borderId="23" xfId="0" applyFill="1" applyBorder="1">
      <alignment vertical="center"/>
    </xf>
    <xf numFmtId="0" fontId="0" fillId="4" borderId="22" xfId="0" quotePrefix="1" applyFill="1" applyBorder="1">
      <alignment vertical="center"/>
    </xf>
    <xf numFmtId="0" fontId="0" fillId="4" borderId="2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2" borderId="22" xfId="0" applyFill="1" applyBorder="1" applyAlignment="1">
      <alignment vertical="center" wrapText="1"/>
    </xf>
    <xf numFmtId="0" fontId="0" fillId="2" borderId="22" xfId="0" applyFill="1" applyBorder="1" applyAlignment="1">
      <alignment vertical="center"/>
    </xf>
    <xf numFmtId="176" fontId="0" fillId="3" borderId="22" xfId="0" applyNumberFormat="1" applyFill="1" applyBorder="1">
      <alignment vertical="center"/>
    </xf>
    <xf numFmtId="0" fontId="0" fillId="2" borderId="22" xfId="0" applyFill="1" applyBorder="1">
      <alignment vertical="center"/>
    </xf>
    <xf numFmtId="0" fontId="0" fillId="3" borderId="22" xfId="0" applyFill="1" applyBorder="1">
      <alignment vertical="center"/>
    </xf>
    <xf numFmtId="177" fontId="0" fillId="3" borderId="16" xfId="0" applyNumberFormat="1" applyFill="1" applyBorder="1">
      <alignment vertical="center"/>
    </xf>
    <xf numFmtId="177" fontId="0" fillId="3" borderId="19" xfId="0" applyNumberForma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vertical="center" textRotation="180" wrapText="1"/>
    </xf>
    <xf numFmtId="0" fontId="0" fillId="0" borderId="0" xfId="0" applyAlignment="1">
      <alignment vertical="center" textRotation="180"/>
    </xf>
    <xf numFmtId="0" fontId="0" fillId="0" borderId="15" xfId="0" applyBorder="1" applyAlignment="1">
      <alignment vertical="center" textRotation="18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104775</xdr:rowOff>
    </xdr:from>
    <xdr:to>
      <xdr:col>13</xdr:col>
      <xdr:colOff>95250</xdr:colOff>
      <xdr:row>8</xdr:row>
      <xdr:rowOff>66675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B47E88AE-7B83-48D8-868E-CC7A76A824A9}"/>
            </a:ext>
          </a:extLst>
        </xdr:cNvPr>
        <xdr:cNvCxnSpPr/>
      </xdr:nvCxnSpPr>
      <xdr:spPr>
        <a:xfrm flipV="1">
          <a:off x="11925300" y="533400"/>
          <a:ext cx="3943350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3</xdr:row>
      <xdr:rowOff>76200</xdr:rowOff>
    </xdr:from>
    <xdr:to>
      <xdr:col>15</xdr:col>
      <xdr:colOff>523875</xdr:colOff>
      <xdr:row>9</xdr:row>
      <xdr:rowOff>95250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691EE42B-19E7-4AC7-8222-D7FE24E37200}"/>
            </a:ext>
          </a:extLst>
        </xdr:cNvPr>
        <xdr:cNvCxnSpPr/>
      </xdr:nvCxnSpPr>
      <xdr:spPr>
        <a:xfrm flipV="1">
          <a:off x="11887200" y="504825"/>
          <a:ext cx="5476875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Q54"/>
  <sheetViews>
    <sheetView tabSelected="1" zoomScaleNormal="100" workbookViewId="0">
      <pane ySplit="13" topLeftCell="A40" activePane="bottomLeft" state="frozen"/>
      <selection pane="bottomLeft" activeCell="Q14" sqref="Q14:Q47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7" ht="11.25" customHeight="1" x14ac:dyDescent="0.15">
      <c r="B1" s="22" t="s">
        <v>8</v>
      </c>
      <c r="C1" s="8" t="str">
        <f ca="1">IF(ISERROR(CELL("filename")),,getThisWorkbooksPath())</f>
        <v>E:\Python-gdbnaut\test</v>
      </c>
      <c r="F1" s="17" t="s">
        <v>29</v>
      </c>
      <c r="G1" s="18"/>
      <c r="H1" t="s">
        <v>39</v>
      </c>
      <c r="N1" s="72" t="s">
        <v>50</v>
      </c>
      <c r="Q1" s="72" t="s">
        <v>50</v>
      </c>
    </row>
    <row r="2" spans="1:17" x14ac:dyDescent="0.15">
      <c r="B2" s="22" t="s">
        <v>40</v>
      </c>
      <c r="C2" s="18" t="s">
        <v>27</v>
      </c>
      <c r="G2" s="8"/>
      <c r="H2" t="s">
        <v>30</v>
      </c>
      <c r="N2" s="73"/>
      <c r="Q2" s="73"/>
    </row>
    <row r="3" spans="1:17" x14ac:dyDescent="0.15">
      <c r="B3" s="22" t="s">
        <v>41</v>
      </c>
      <c r="C3" s="18" t="s">
        <v>28</v>
      </c>
      <c r="G3" s="16"/>
      <c r="H3" t="s">
        <v>31</v>
      </c>
      <c r="N3" s="73"/>
      <c r="Q3" s="73"/>
    </row>
    <row r="4" spans="1:17" x14ac:dyDescent="0.15">
      <c r="C4" s="6"/>
      <c r="N4" s="73"/>
      <c r="Q4" s="73"/>
    </row>
    <row r="5" spans="1:17" x14ac:dyDescent="0.15">
      <c r="A5" s="21" t="s">
        <v>22</v>
      </c>
      <c r="B5" s="12"/>
      <c r="C5" s="12" t="s">
        <v>6</v>
      </c>
      <c r="D5" s="20" t="s">
        <v>7</v>
      </c>
      <c r="E5" s="63" t="s">
        <v>42</v>
      </c>
      <c r="F5" s="64"/>
      <c r="G5" s="65"/>
      <c r="N5" s="73"/>
      <c r="Q5" s="73"/>
    </row>
    <row r="6" spans="1:17" x14ac:dyDescent="0.15">
      <c r="A6" s="2"/>
      <c r="B6" s="23">
        <v>1</v>
      </c>
      <c r="C6" s="10" t="s">
        <v>13</v>
      </c>
      <c r="D6" s="8" t="str">
        <f ca="1">SUBSTITUTE($C$1&amp;"\"&amp;$C6,$C$5,"")</f>
        <v>E:\Python-gdbnaut\test\1_input_files\0_test_source\</v>
      </c>
      <c r="E6" s="3"/>
      <c r="F6" s="28" t="s">
        <v>32</v>
      </c>
      <c r="G6" s="25" t="b">
        <v>0</v>
      </c>
      <c r="N6" s="73"/>
      <c r="Q6" s="73"/>
    </row>
    <row r="7" spans="1:17" x14ac:dyDescent="0.15">
      <c r="A7" s="2"/>
      <c r="B7" s="23">
        <v>2</v>
      </c>
      <c r="C7" s="10" t="s">
        <v>20</v>
      </c>
      <c r="D7" s="8" t="str">
        <f ca="1">SUBSTITUTE($C$1&amp;"\"&amp;$C7,$C$5,"")</f>
        <v>E:\Python-gdbnaut\test\1_input_files\1_bebug_builds\</v>
      </c>
      <c r="E7" s="2"/>
      <c r="F7" s="26" t="s">
        <v>33</v>
      </c>
      <c r="G7" s="10" t="b">
        <v>0</v>
      </c>
      <c r="N7" s="73"/>
      <c r="Q7" s="73"/>
    </row>
    <row r="8" spans="1:17" x14ac:dyDescent="0.15">
      <c r="A8" s="2"/>
      <c r="B8" s="23">
        <v>3</v>
      </c>
      <c r="C8" s="10" t="s">
        <v>21</v>
      </c>
      <c r="D8" s="8" t="str">
        <f ca="1">SUBSTITUTE($C$1&amp;"\"&amp;$C8,$C$5,"")</f>
        <v>E:\Python-gdbnaut\test\2_output_files\1_save_as\</v>
      </c>
      <c r="E8" s="2"/>
      <c r="F8" s="26" t="s">
        <v>34</v>
      </c>
      <c r="G8" s="10" t="b">
        <v>0</v>
      </c>
      <c r="N8" s="73"/>
      <c r="Q8" s="73"/>
    </row>
    <row r="9" spans="1:17" x14ac:dyDescent="0.15">
      <c r="A9" s="11"/>
      <c r="B9" s="24">
        <v>4</v>
      </c>
      <c r="C9" s="19" t="s">
        <v>123</v>
      </c>
      <c r="D9" s="8" t="str">
        <f ca="1">SUBSTITUTE($C$1&amp;"\"&amp;$C9,$C$5,"")</f>
        <v>E:\Python-gdbnaut\test\2_output_files\2_address_ignored\</v>
      </c>
      <c r="E9" s="2"/>
      <c r="F9" s="26" t="str">
        <f>"Test "&amp;C2</f>
        <v>Test tester_script_1_for_gdbnaut.py</v>
      </c>
      <c r="G9" s="10" t="s">
        <v>49</v>
      </c>
      <c r="H9" s="29"/>
      <c r="N9" s="73"/>
      <c r="Q9" s="73"/>
    </row>
    <row r="10" spans="1:17" x14ac:dyDescent="0.15">
      <c r="A10" s="4"/>
      <c r="B10" s="4"/>
      <c r="C10" s="7"/>
      <c r="D10" s="5" t="b">
        <f>IF($G$6,makeDirs(D6:D9),FALSE)</f>
        <v>0</v>
      </c>
      <c r="E10" s="11"/>
      <c r="F10" s="27" t="str">
        <f>"Test "&amp;C3</f>
        <v>Test tester_script_2_for_gdbnaut_nogdb.py</v>
      </c>
      <c r="G10" s="10" t="s">
        <v>49</v>
      </c>
      <c r="H10" s="29"/>
      <c r="N10" s="73"/>
      <c r="Q10" s="73"/>
    </row>
    <row r="11" spans="1:17" x14ac:dyDescent="0.15">
      <c r="N11" s="74"/>
      <c r="Q11" s="74"/>
    </row>
    <row r="12" spans="1:17" ht="42" customHeight="1" x14ac:dyDescent="0.15">
      <c r="C12" s="71" t="s">
        <v>24</v>
      </c>
      <c r="D12" s="71"/>
      <c r="E12" s="15"/>
      <c r="F12" s="1"/>
      <c r="G12" s="68" t="s">
        <v>10</v>
      </c>
      <c r="H12" s="69"/>
      <c r="I12" s="70"/>
      <c r="J12" s="68" t="s">
        <v>11</v>
      </c>
      <c r="K12" s="69"/>
      <c r="L12" s="70"/>
      <c r="M12" s="68" t="str">
        <f>"test for "&amp;C2</f>
        <v>test for tester_script_1_for_gdbnaut.py</v>
      </c>
      <c r="N12" s="69"/>
      <c r="O12" s="66" t="str">
        <f>"test for "&amp;C3</f>
        <v>test for tester_script_2_for_gdbnaut_nogdb.py</v>
      </c>
      <c r="P12" s="67"/>
      <c r="Q12" s="67"/>
    </row>
    <row r="13" spans="1:17" x14ac:dyDescent="0.15">
      <c r="A13" s="9" t="s">
        <v>3</v>
      </c>
      <c r="B13" s="13" t="s">
        <v>23</v>
      </c>
      <c r="C13" s="9" t="s">
        <v>0</v>
      </c>
      <c r="D13" s="9" t="s">
        <v>2</v>
      </c>
      <c r="E13" s="14" t="s">
        <v>14</v>
      </c>
      <c r="F13" s="9" t="s">
        <v>5</v>
      </c>
      <c r="G13" s="9" t="s">
        <v>4</v>
      </c>
      <c r="H13" s="9" t="s">
        <v>36</v>
      </c>
      <c r="I13" s="9" t="s">
        <v>35</v>
      </c>
      <c r="J13" s="9" t="s">
        <v>4</v>
      </c>
      <c r="K13" s="9" t="s">
        <v>9</v>
      </c>
      <c r="L13" s="9" t="s">
        <v>12</v>
      </c>
      <c r="M13" s="9" t="s">
        <v>15</v>
      </c>
      <c r="N13" s="9" t="s">
        <v>48</v>
      </c>
      <c r="O13" s="9" t="s">
        <v>38</v>
      </c>
      <c r="P13" s="9" t="s">
        <v>37</v>
      </c>
      <c r="Q13" s="9" t="s">
        <v>48</v>
      </c>
    </row>
    <row r="14" spans="1:17" ht="22.5" x14ac:dyDescent="0.15">
      <c r="A14" s="30">
        <v>1</v>
      </c>
      <c r="B14" s="31" t="s">
        <v>68</v>
      </c>
      <c r="C14" s="32" t="s">
        <v>66</v>
      </c>
      <c r="D14" s="33" t="str">
        <f>'codes templates'!$B$5</f>
        <v>int main(int argc,char *argv[])
{
 int i;
 for (i = 0; i &lt; argc; i++) {
  printf("argv[%d]:\"%s\"\n", i, argv[i]);
 }
 return 0;
}</v>
      </c>
      <c r="E14" s="34" t="s">
        <v>16</v>
      </c>
      <c r="F14" s="35" t="str">
        <f>TEXT(A14,"000")&amp;"_"&amp;SUBSTITUTE(B14," ","_")</f>
        <v>001_signed_char</v>
      </c>
      <c r="G14" s="36" t="str">
        <f t="shared" ref="G14:G47" ca="1" si="0">$C$1&amp;"\"&amp;
 SUBSTITUTE(
   $C$6,
   $C$5,
   $F14&amp;".c"
 )</f>
        <v>E:\Python-gdbnaut\test\1_input_files\0_test_source\001_signed_char.c</v>
      </c>
      <c r="H14" s="36" t="str">
        <f>SUBSTITUTE(SUBSTITUTE('codes templates'!$B$2,C$13,C14),D$13,D14)</f>
        <v xml:space="preserve">#include &lt;stdio.h&gt;
typedef char sint8;
volatile const sint8 c = 'a';
int main(int argc,char *argv[])
{
 int i;
 for (i = 0; i &lt; argc; i++) {
  printf("argv[%d]:\"%s\"\n", i, argv[i]);
 }
 return 0;
}
</v>
      </c>
      <c r="I14" s="61" t="b">
        <f>IF($G$7,makeSourceFile(H14,G14),FALSE)</f>
        <v>0</v>
      </c>
      <c r="J14" s="36" t="str">
        <f t="shared" ref="J14:J47" ca="1" si="1">$C$1&amp;"\"&amp;
 SUBSTITUTE(
   $C$7,
   $C$5,
   $F14&amp;".exe"
 )</f>
        <v>E:\Python-gdbnaut\test\1_input_files\1_bebug_builds\001_signed_char.exe</v>
      </c>
      <c r="K14" s="37" t="str">
        <f ca="1">"gcc"&amp;" "&amp;""""&amp;G14&amp;""""&amp;" -o "&amp;""""&amp;J14&amp;""""&amp;" -g -O0"</f>
        <v>gcc "E:\Python-gdbnaut\test\1_input_files\0_test_source\001_signed_char.c" -o "E:\Python-gdbnaut\test\1_input_files\1_bebug_builds\001_signed_char.exe" -g -O0</v>
      </c>
      <c r="L14" s="38" t="b">
        <f>IF($G$8,doDosCmd(K14),FALSE)</f>
        <v>0</v>
      </c>
      <c r="M14" s="36" t="str">
        <f t="shared" ref="M14:M16" si="2">SUBSTITUTE(SUBSTITUTE($C$8,"\","/"),$C$5,F14)&amp;".json"</f>
        <v>2_output_files/1_save_as/001_signed_char.json</v>
      </c>
      <c r="N14" s="37" t="str">
        <f t="shared" ref="N14:N16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"E:\Python-gdbnaut\test\1_input_files\1_bebug_builds\001_signed_char.exe" -ex "set $symbol_name = \"c\"" -ex "set $out_path = \"2_output_files/1_save_as/001_signed_char.json\"" -x "E:\Python-gdbnaut\test\tester_script_1_for_gdbnaut.py"</v>
      </c>
      <c r="O14" s="36" t="str">
        <f>M14</f>
        <v>2_output_files/1_save_as/001_signed_char.json</v>
      </c>
      <c r="P14" s="37" t="str">
        <f>SUBSTITUTE(SUBSTITUTE($C$9,"\","/"),$C$5,F14)&amp;".json"</f>
        <v>2_output_files/2_address_ignored/001_signed_char.json</v>
      </c>
      <c r="Q14" s="37" t="str">
        <f ca="1">"cd /d"&amp;" "&amp;
 """"&amp;$C$1&amp;""""&amp;
 " &amp;&amp; "&amp;
 "python"&amp;" "&amp;
 """"&amp;$C$1&amp;"\"&amp;$C$3&amp;""""&amp;" "&amp;
 """"&amp;E14&amp;""""&amp;" "&amp;
 """"&amp;O14&amp;""""&amp;" "&amp;
 """"&amp;P14&amp;""""</f>
        <v>cd /d "E:\Python-gdbnaut\test" &amp;&amp; python "E:\Python-gdbnaut\test\tester_script_2_for_gdbnaut_nogdb.py" "c" "2_output_files/1_save_as/001_signed_char.json" "2_output_files/2_address_ignored/001_signed_char.json"</v>
      </c>
    </row>
    <row r="15" spans="1:17" ht="22.5" x14ac:dyDescent="0.15">
      <c r="A15" s="39">
        <v>2</v>
      </c>
      <c r="B15" s="40" t="s">
        <v>70</v>
      </c>
      <c r="C15" s="41" t="s">
        <v>67</v>
      </c>
      <c r="D15" s="42" t="str">
        <f>'codes templates'!$B$5</f>
        <v>int main(int argc,char *argv[])
{
 int i;
 for (i = 0; i &lt; argc; i++) {
  printf("argv[%d]:\"%s\"\n", i, argv[i]);
 }
 return 0;
}</v>
      </c>
      <c r="E15" s="43" t="s">
        <v>16</v>
      </c>
      <c r="F15" s="44" t="str">
        <f t="shared" ref="F15:F16" si="4">TEXT(A15,"000")&amp;"_"&amp;SUBSTITUTE(B15," ","_")</f>
        <v>002_unsigned_char</v>
      </c>
      <c r="G15" s="45" t="str">
        <f t="shared" ca="1" si="0"/>
        <v>E:\Python-gdbnaut\test\1_input_files\0_test_source\002_unsigned_char.c</v>
      </c>
      <c r="H15" s="45" t="str">
        <f>SUBSTITUTE(SUBSTITUTE('codes templates'!$B$2,C$13,C15),D$13,D15)</f>
        <v xml:space="preserve">#include &lt;stdio.h&gt;
typedef unsigned char uint8;
volatile const uint8 c = 'a';
int main(int argc,char *argv[])
{
 int i;
 for (i = 0; i &lt; argc; i++) {
  printf("argv[%d]:\"%s\"\n", i, argv[i]);
 }
 return 0;
}
</v>
      </c>
      <c r="I15" s="62" t="b">
        <f>IF($G$7,makeSourceFile(H15,G15),FALSE)</f>
        <v>0</v>
      </c>
      <c r="J15" s="45" t="str">
        <f t="shared" ca="1" si="1"/>
        <v>E:\Python-gdbnaut\test\1_input_files\1_bebug_builds\002_unsigned_char.exe</v>
      </c>
      <c r="K15" s="47" t="str">
        <f t="shared" ref="K15:K16" ca="1" si="5">"gcc"&amp;" "&amp;""""&amp;G15&amp;""""&amp;" -o "&amp;""""&amp;J15&amp;""""&amp;" -g -O0"</f>
        <v>gcc "E:\Python-gdbnaut\test\1_input_files\0_test_source\002_unsigned_char.c" -o "E:\Python-gdbnaut\test\1_input_files\1_bebug_builds\002_unsigned_char.exe" -g -O0</v>
      </c>
      <c r="L15" s="48" t="b">
        <f>IF($G$8,doDosCmd(K15),FALSE)</f>
        <v>0</v>
      </c>
      <c r="M15" s="45" t="str">
        <f t="shared" si="2"/>
        <v>2_output_files/1_save_as/002_unsigned_char.json</v>
      </c>
      <c r="N15" s="47" t="str">
        <f t="shared" ca="1" si="3"/>
        <v>cd /d "E:\Python-gdbnaut\test" &amp;&amp; gdb "E:\Python-gdbnaut\test\1_input_files\1_bebug_builds\002_unsigned_char.exe" -ex "set $symbol_name = \"c\"" -ex "set $out_path = \"2_output_files/1_save_as/002_unsigned_char.json\"" -x "E:\Python-gdbnaut\test\tester_script_1_for_gdbnaut.py"</v>
      </c>
      <c r="O15" s="45" t="str">
        <f>M15</f>
        <v>2_output_files/1_save_as/002_unsigned_char.json</v>
      </c>
      <c r="P15" s="47" t="str">
        <f>SUBSTITUTE(SUBSTITUTE($C$9,"\","/"),$C$5,F15)&amp;".json"</f>
        <v>2_output_files/2_address_ignored/002_unsigned_char.json</v>
      </c>
      <c r="Q15" s="47" t="str">
        <f ca="1">"cd /d"&amp;" "&amp;
 """"&amp;$C$1&amp;""""&amp;
 " &amp;&amp; "&amp;
 "python"&amp;" "&amp;
 """"&amp;$C$1&amp;"\"&amp;$C$3&amp;""""&amp;" "&amp;
 """"&amp;E15&amp;""""&amp;" "&amp;
 """"&amp;O15&amp;""""&amp;" "&amp;
 """"&amp;P15&amp;""""</f>
        <v>cd /d "E:\Python-gdbnaut\test" &amp;&amp; python "E:\Python-gdbnaut\test\tester_script_2_for_gdbnaut_nogdb.py" "c" "2_output_files/1_save_as/002_unsigned_char.json" "2_output_files/2_address_ignored/002_unsigned_char.json"</v>
      </c>
    </row>
    <row r="16" spans="1:17" ht="22.5" x14ac:dyDescent="0.15">
      <c r="A16" s="39">
        <v>3</v>
      </c>
      <c r="B16" s="40" t="s">
        <v>69</v>
      </c>
      <c r="C16" s="41" t="s">
        <v>73</v>
      </c>
      <c r="D16" s="42" t="str">
        <f>'codes templates'!$B$5</f>
        <v>int main(int argc,char *argv[])
{
 int i;
 for (i = 0; i &lt; argc; i++) {
  printf("argv[%d]:\"%s\"\n", i, argv[i]);
 }
 return 0;
}</v>
      </c>
      <c r="E16" s="43" t="s">
        <v>17</v>
      </c>
      <c r="F16" s="44" t="str">
        <f t="shared" si="4"/>
        <v>003_signed_short</v>
      </c>
      <c r="G16" s="45" t="str">
        <f t="shared" ca="1" si="0"/>
        <v>E:\Python-gdbnaut\test\1_input_files\0_test_source\003_signed_short.c</v>
      </c>
      <c r="H16" s="45" t="str">
        <f>SUBSTITUTE(SUBSTITUTE('codes templates'!$B$2,C$13,C16),D$13,D16)</f>
        <v xml:space="preserve">#include &lt;stdio.h&gt;
typedef short sint16;
volatile const sint16 s = (-129);
int main(int argc,char *argv[])
{
 int i;
 for (i = 0; i &lt; argc; i++) {
  printf("argv[%d]:\"%s\"\n", i, argv[i]);
 }
 return 0;
}
</v>
      </c>
      <c r="I16" s="62" t="b">
        <f>IF($G$7,makeSourceFile(H16,G16),FALSE)</f>
        <v>0</v>
      </c>
      <c r="J16" s="45" t="str">
        <f t="shared" ca="1" si="1"/>
        <v>E:\Python-gdbnaut\test\1_input_files\1_bebug_builds\003_signed_short.exe</v>
      </c>
      <c r="K16" s="47" t="str">
        <f t="shared" ca="1" si="5"/>
        <v>gcc "E:\Python-gdbnaut\test\1_input_files\0_test_source\003_signed_short.c" -o "E:\Python-gdbnaut\test\1_input_files\1_bebug_builds\003_signed_short.exe" -g -O0</v>
      </c>
      <c r="L16" s="48" t="b">
        <f>IF($G$8,doDosCmd(K16),FALSE)</f>
        <v>0</v>
      </c>
      <c r="M16" s="45" t="str">
        <f t="shared" si="2"/>
        <v>2_output_files/1_save_as/003_signed_short.json</v>
      </c>
      <c r="N16" s="47" t="str">
        <f t="shared" ca="1" si="3"/>
        <v>cd /d "E:\Python-gdbnaut\test" &amp;&amp; gdb "E:\Python-gdbnaut\test\1_input_files\1_bebug_builds\003_signed_short.exe" -ex "set $symbol_name = \"s\"" -ex "set $out_path = \"2_output_files/1_save_as/003_signed_short.json\"" -x "E:\Python-gdbnaut\test\tester_script_1_for_gdbnaut.py"</v>
      </c>
      <c r="O16" s="45" t="str">
        <f>M16</f>
        <v>2_output_files/1_save_as/003_signed_short.json</v>
      </c>
      <c r="P16" s="47" t="str">
        <f>SUBSTITUTE(SUBSTITUTE($C$9,"\","/"),$C$5,F16)&amp;".json"</f>
        <v>2_output_files/2_address_ignored/003_signed_short.json</v>
      </c>
      <c r="Q16" s="47" t="str">
        <f ca="1">"cd /d"&amp;" "&amp;
 """"&amp;$C$1&amp;""""&amp;
 " &amp;&amp; "&amp;
 "python"&amp;" "&amp;
 """"&amp;$C$1&amp;"\"&amp;$C$3&amp;""""&amp;" "&amp;
 """"&amp;E16&amp;""""&amp;" "&amp;
 """"&amp;O16&amp;""""&amp;" "&amp;
 """"&amp;P16&amp;""""</f>
        <v>cd /d "E:\Python-gdbnaut\test" &amp;&amp; python "E:\Python-gdbnaut\test\tester_script_2_for_gdbnaut_nogdb.py" "s" "2_output_files/1_save_as/003_signed_short.json" "2_output_files/2_address_ignored/003_signed_short.json"</v>
      </c>
    </row>
    <row r="17" spans="1:17" ht="22.5" x14ac:dyDescent="0.15">
      <c r="A17" s="39">
        <v>4</v>
      </c>
      <c r="B17" s="40" t="s">
        <v>71</v>
      </c>
      <c r="C17" s="41" t="s">
        <v>72</v>
      </c>
      <c r="D17" s="42" t="str">
        <f>'codes templates'!$B$5</f>
        <v>int main(int argc,char *argv[])
{
 int i;
 for (i = 0; i &lt; argc; i++) {
  printf("argv[%d]:\"%s\"\n", i, argv[i]);
 }
 return 0;
}</v>
      </c>
      <c r="E17" s="43" t="s">
        <v>17</v>
      </c>
      <c r="F17" s="44" t="str">
        <f t="shared" ref="F17:F19" si="6">TEXT(A17,"000")&amp;"_"&amp;SUBSTITUTE(B17," ","_")</f>
        <v>004_unsigned_short</v>
      </c>
      <c r="G17" s="45" t="str">
        <f t="shared" ca="1" si="0"/>
        <v>E:\Python-gdbnaut\test\1_input_files\0_test_source\004_unsigned_short.c</v>
      </c>
      <c r="H17" s="45" t="str">
        <f>SUBSTITUTE(SUBSTITUTE('codes templates'!$B$2,C$13,C17),D$13,D17)</f>
        <v xml:space="preserve">#include &lt;stdio.h&gt;
typedef unsigned short uint16;
volatile const uint16 s = (257);
int main(int argc,char *argv[])
{
 int i;
 for (i = 0; i &lt; argc; i++) {
  printf("argv[%d]:\"%s\"\n", i, argv[i]);
 }
 return 0;
}
</v>
      </c>
      <c r="I17" s="62" t="b">
        <f>IF($G$7,makeSourceFile(H17,G17),FALSE)</f>
        <v>0</v>
      </c>
      <c r="J17" s="45" t="str">
        <f t="shared" ca="1" si="1"/>
        <v>E:\Python-gdbnaut\test\1_input_files\1_bebug_builds\004_unsigned_short.exe</v>
      </c>
      <c r="K17" s="47" t="str">
        <f t="shared" ref="K17:K19" ca="1" si="7">"gcc"&amp;" "&amp;""""&amp;G17&amp;""""&amp;" -o "&amp;""""&amp;J17&amp;""""&amp;" -g -O0"</f>
        <v>gcc "E:\Python-gdbnaut\test\1_input_files\0_test_source\004_unsigned_short.c" -o "E:\Python-gdbnaut\test\1_input_files\1_bebug_builds\004_unsigned_short.exe" -g -O0</v>
      </c>
      <c r="L17" s="48" t="b">
        <f>IF($G$8,doDosCmd(K17),FALSE)</f>
        <v>0</v>
      </c>
      <c r="M17" s="45" t="str">
        <f t="shared" ref="M17:M19" si="8">SUBSTITUTE(SUBSTITUTE($C$8,"\","/"),$C$5,F17)&amp;".json"</f>
        <v>2_output_files/1_save_as/004_unsigned_short.json</v>
      </c>
      <c r="N17" s="47" t="str">
        <f t="shared" ref="N17:N19" ca="1" si="9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"E:\Python-gdbnaut\test\1_input_files\1_bebug_builds\004_unsigned_short.exe" -ex "set $symbol_name = \"s\"" -ex "set $out_path = \"2_output_files/1_save_as/004_unsigned_short.json\"" -x "E:\Python-gdbnaut\test\tester_script_1_for_gdbnaut.py"</v>
      </c>
      <c r="O17" s="45" t="str">
        <f t="shared" ref="O17:O19" si="10">M17</f>
        <v>2_output_files/1_save_as/004_unsigned_short.json</v>
      </c>
      <c r="P17" s="47" t="str">
        <f t="shared" ref="P17:P19" si="11">SUBSTITUTE(SUBSTITUTE($C$9,"\","/"),$C$5,F17)&amp;".json"</f>
        <v>2_output_files/2_address_ignored/004_unsigned_short.json</v>
      </c>
      <c r="Q17" s="47" t="str">
        <f t="shared" ref="Q17:Q19" ca="1" si="12">"cd /d"&amp;" "&amp;
 """"&amp;$C$1&amp;""""&amp;
 " &amp;&amp; "&amp;
 "python"&amp;" "&amp;
 """"&amp;$C$1&amp;"\"&amp;$C$3&amp;""""&amp;" "&amp;
 """"&amp;E17&amp;""""&amp;" "&amp;
 """"&amp;O17&amp;""""&amp;" "&amp;
 """"&amp;P17&amp;""""</f>
        <v>cd /d "E:\Python-gdbnaut\test" &amp;&amp; python "E:\Python-gdbnaut\test\tester_script_2_for_gdbnaut_nogdb.py" "s" "2_output_files/1_save_as/004_unsigned_short.json" "2_output_files/2_address_ignored/004_unsigned_short.json"</v>
      </c>
    </row>
    <row r="18" spans="1:17" ht="22.5" x14ac:dyDescent="0.15">
      <c r="A18" s="39">
        <v>5</v>
      </c>
      <c r="B18" s="40" t="s">
        <v>74</v>
      </c>
      <c r="C18" s="41" t="s">
        <v>78</v>
      </c>
      <c r="D18" s="42" t="str">
        <f>'codes templates'!$B$5</f>
        <v>int main(int argc,char *argv[])
{
 int i;
 for (i = 0; i &lt; argc; i++) {
  printf("argv[%d]:\"%s\"\n", i, argv[i]);
 }
 return 0;
}</v>
      </c>
      <c r="E18" s="43" t="s">
        <v>45</v>
      </c>
      <c r="F18" s="44" t="str">
        <f t="shared" si="6"/>
        <v>005_signed_int</v>
      </c>
      <c r="G18" s="45" t="str">
        <f t="shared" ca="1" si="0"/>
        <v>E:\Python-gdbnaut\test\1_input_files\0_test_source\005_signed_int.c</v>
      </c>
      <c r="H18" s="45" t="str">
        <f>SUBSTITUTE(SUBSTITUTE('codes templates'!$B$2,C$13,C18),D$13,D18)</f>
        <v xml:space="preserve">#include &lt;stdio.h&gt;
typedef int sint32;
volatile const sint32 gi = (-32769);
int main(int argc,char *argv[])
{
 int i;
 for (i = 0; i &lt; argc; i++) {
  printf("argv[%d]:\"%s\"\n", i, argv[i]);
 }
 return 0;
}
</v>
      </c>
      <c r="I18" s="62" t="b">
        <f>IF($G$7,makeSourceFile(H18,G18),FALSE)</f>
        <v>0</v>
      </c>
      <c r="J18" s="45" t="str">
        <f t="shared" ca="1" si="1"/>
        <v>E:\Python-gdbnaut\test\1_input_files\1_bebug_builds\005_signed_int.exe</v>
      </c>
      <c r="K18" s="47" t="str">
        <f t="shared" ca="1" si="7"/>
        <v>gcc "E:\Python-gdbnaut\test\1_input_files\0_test_source\005_signed_int.c" -o "E:\Python-gdbnaut\test\1_input_files\1_bebug_builds\005_signed_int.exe" -g -O0</v>
      </c>
      <c r="L18" s="48" t="b">
        <f>IF($G$8,doDosCmd(K18),FALSE)</f>
        <v>0</v>
      </c>
      <c r="M18" s="45" t="str">
        <f t="shared" si="8"/>
        <v>2_output_files/1_save_as/005_signed_int.json</v>
      </c>
      <c r="N18" s="47" t="str">
        <f t="shared" ca="1" si="9"/>
        <v>cd /d "E:\Python-gdbnaut\test" &amp;&amp; gdb "E:\Python-gdbnaut\test\1_input_files\1_bebug_builds\005_signed_int.exe" -ex "set $symbol_name = \"gi\"" -ex "set $out_path = \"2_output_files/1_save_as/005_signed_int.json\"" -x "E:\Python-gdbnaut\test\tester_script_1_for_gdbnaut.py"</v>
      </c>
      <c r="O18" s="45" t="str">
        <f t="shared" si="10"/>
        <v>2_output_files/1_save_as/005_signed_int.json</v>
      </c>
      <c r="P18" s="47" t="str">
        <f t="shared" si="11"/>
        <v>2_output_files/2_address_ignored/005_signed_int.json</v>
      </c>
      <c r="Q18" s="47" t="str">
        <f t="shared" ca="1" si="12"/>
        <v>cd /d "E:\Python-gdbnaut\test" &amp;&amp; python "E:\Python-gdbnaut\test\tester_script_2_for_gdbnaut_nogdb.py" "gi" "2_output_files/1_save_as/005_signed_int.json" "2_output_files/2_address_ignored/005_signed_int.json"</v>
      </c>
    </row>
    <row r="19" spans="1:17" ht="22.5" x14ac:dyDescent="0.15">
      <c r="A19" s="39">
        <v>6</v>
      </c>
      <c r="B19" s="40" t="s">
        <v>75</v>
      </c>
      <c r="C19" s="41" t="s">
        <v>79</v>
      </c>
      <c r="D19" s="42" t="str">
        <f>'codes templates'!$B$5</f>
        <v>int main(int argc,char *argv[])
{
 int i;
 for (i = 0; i &lt; argc; i++) {
  printf("argv[%d]:\"%s\"\n", i, argv[i]);
 }
 return 0;
}</v>
      </c>
      <c r="E19" s="43" t="s">
        <v>45</v>
      </c>
      <c r="F19" s="44" t="str">
        <f t="shared" si="6"/>
        <v>006_unsigned_int</v>
      </c>
      <c r="G19" s="45" t="str">
        <f t="shared" ca="1" si="0"/>
        <v>E:\Python-gdbnaut\test\1_input_files\0_test_source\006_unsigned_int.c</v>
      </c>
      <c r="H19" s="45" t="str">
        <f>SUBSTITUTE(SUBSTITUTE('codes templates'!$B$2,C$13,C19),D$13,D19)</f>
        <v xml:space="preserve">#include &lt;stdio.h&gt;
typedef unsigned int uint32;
volatile const uint32 gi = (65537);
int main(int argc,char *argv[])
{
 int i;
 for (i = 0; i &lt; argc; i++) {
  printf("argv[%d]:\"%s\"\n", i, argv[i]);
 }
 return 0;
}
</v>
      </c>
      <c r="I19" s="62" t="b">
        <f>IF($G$7,makeSourceFile(H19,G19),FALSE)</f>
        <v>0</v>
      </c>
      <c r="J19" s="45" t="str">
        <f t="shared" ca="1" si="1"/>
        <v>E:\Python-gdbnaut\test\1_input_files\1_bebug_builds\006_unsigned_int.exe</v>
      </c>
      <c r="K19" s="47" t="str">
        <f t="shared" ca="1" si="7"/>
        <v>gcc "E:\Python-gdbnaut\test\1_input_files\0_test_source\006_unsigned_int.c" -o "E:\Python-gdbnaut\test\1_input_files\1_bebug_builds\006_unsigned_int.exe" -g -O0</v>
      </c>
      <c r="L19" s="48" t="b">
        <f>IF($G$8,doDosCmd(K19),FALSE)</f>
        <v>0</v>
      </c>
      <c r="M19" s="45" t="str">
        <f t="shared" si="8"/>
        <v>2_output_files/1_save_as/006_unsigned_int.json</v>
      </c>
      <c r="N19" s="47" t="str">
        <f t="shared" ca="1" si="9"/>
        <v>cd /d "E:\Python-gdbnaut\test" &amp;&amp; gdb "E:\Python-gdbnaut\test\1_input_files\1_bebug_builds\006_unsigned_int.exe" -ex "set $symbol_name = \"gi\"" -ex "set $out_path = \"2_output_files/1_save_as/006_unsigned_int.json\"" -x "E:\Python-gdbnaut\test\tester_script_1_for_gdbnaut.py"</v>
      </c>
      <c r="O19" s="45" t="str">
        <f t="shared" si="10"/>
        <v>2_output_files/1_save_as/006_unsigned_int.json</v>
      </c>
      <c r="P19" s="47" t="str">
        <f t="shared" si="11"/>
        <v>2_output_files/2_address_ignored/006_unsigned_int.json</v>
      </c>
      <c r="Q19" s="47" t="str">
        <f t="shared" ca="1" si="12"/>
        <v>cd /d "E:\Python-gdbnaut\test" &amp;&amp; python "E:\Python-gdbnaut\test\tester_script_2_for_gdbnaut_nogdb.py" "gi" "2_output_files/1_save_as/006_unsigned_int.json" "2_output_files/2_address_ignored/006_unsigned_int.json"</v>
      </c>
    </row>
    <row r="20" spans="1:17" ht="22.5" x14ac:dyDescent="0.15">
      <c r="A20" s="39">
        <v>7</v>
      </c>
      <c r="B20" s="40" t="s">
        <v>76</v>
      </c>
      <c r="C20" s="41" t="s">
        <v>80</v>
      </c>
      <c r="D20" s="42" t="str">
        <f>'codes templates'!$B$5</f>
        <v>int main(int argc,char *argv[])
{
 int i;
 for (i = 0; i &lt; argc; i++) {
  printf("argv[%d]:\"%s\"\n", i, argv[i]);
 }
 return 0;
}</v>
      </c>
      <c r="E20" s="43" t="s">
        <v>45</v>
      </c>
      <c r="F20" s="44" t="str">
        <f t="shared" ref="F20:F21" si="13">TEXT(A20,"000")&amp;"_"&amp;SUBSTITUTE(B20," ","_")</f>
        <v>007_signed_long</v>
      </c>
      <c r="G20" s="45" t="str">
        <f t="shared" ca="1" si="0"/>
        <v>E:\Python-gdbnaut\test\1_input_files\0_test_source\007_signed_long.c</v>
      </c>
      <c r="H20" s="45" t="str">
        <f>SUBSTITUTE(SUBSTITUTE('codes templates'!$B$2,C$13,C20),D$13,D20)</f>
        <v xml:space="preserve">#include &lt;stdio.h&gt;
typedef long sint64;
volatile const sint64 gi = (-2147483649);
int main(int argc,char *argv[])
{
 int i;
 for (i = 0; i &lt; argc; i++) {
  printf("argv[%d]:\"%s\"\n", i, argv[i]);
 }
 return 0;
}
</v>
      </c>
      <c r="I20" s="62" t="b">
        <f>IF($G$7,makeSourceFile(H20,G20),FALSE)</f>
        <v>0</v>
      </c>
      <c r="J20" s="45" t="str">
        <f t="shared" ca="1" si="1"/>
        <v>E:\Python-gdbnaut\test\1_input_files\1_bebug_builds\007_signed_long.exe</v>
      </c>
      <c r="K20" s="47" t="str">
        <f t="shared" ref="K20:K21" ca="1" si="14">"gcc"&amp;" "&amp;""""&amp;G20&amp;""""&amp;" -o "&amp;""""&amp;J20&amp;""""&amp;" -g -O0"</f>
        <v>gcc "E:\Python-gdbnaut\test\1_input_files\0_test_source\007_signed_long.c" -o "E:\Python-gdbnaut\test\1_input_files\1_bebug_builds\007_signed_long.exe" -g -O0</v>
      </c>
      <c r="L20" s="48" t="b">
        <f>IF($G$8,doDosCmd(K20),FALSE)</f>
        <v>0</v>
      </c>
      <c r="M20" s="45" t="str">
        <f t="shared" ref="M20:M21" si="15">SUBSTITUTE(SUBSTITUTE($C$8,"\","/"),$C$5,F20)&amp;".json"</f>
        <v>2_output_files/1_save_as/007_signed_long.json</v>
      </c>
      <c r="N20" s="47" t="str">
        <f t="shared" ref="N20:N21" ca="1" si="16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"E:\Python-gdbnaut\test\1_input_files\1_bebug_builds\007_signed_long.exe" -ex "set $symbol_name = \"gi\"" -ex "set $out_path = \"2_output_files/1_save_as/007_signed_long.json\"" -x "E:\Python-gdbnaut\test\tester_script_1_for_gdbnaut.py"</v>
      </c>
      <c r="O20" s="45" t="str">
        <f t="shared" ref="O20:O21" si="17">M20</f>
        <v>2_output_files/1_save_as/007_signed_long.json</v>
      </c>
      <c r="P20" s="47" t="str">
        <f t="shared" ref="P20:P21" si="18">SUBSTITUTE(SUBSTITUTE($C$9,"\","/"),$C$5,F20)&amp;".json"</f>
        <v>2_output_files/2_address_ignored/007_signed_long.json</v>
      </c>
      <c r="Q20" s="47" t="str">
        <f t="shared" ref="Q20:Q21" ca="1" si="19">"cd /d"&amp;" "&amp;
 """"&amp;$C$1&amp;""""&amp;
 " &amp;&amp; "&amp;
 "python"&amp;" "&amp;
 """"&amp;$C$1&amp;"\"&amp;$C$3&amp;""""&amp;" "&amp;
 """"&amp;E20&amp;""""&amp;" "&amp;
 """"&amp;O20&amp;""""&amp;" "&amp;
 """"&amp;P20&amp;""""</f>
        <v>cd /d "E:\Python-gdbnaut\test" &amp;&amp; python "E:\Python-gdbnaut\test\tester_script_2_for_gdbnaut_nogdb.py" "gi" "2_output_files/1_save_as/007_signed_long.json" "2_output_files/2_address_ignored/007_signed_long.json"</v>
      </c>
    </row>
    <row r="21" spans="1:17" ht="22.5" x14ac:dyDescent="0.15">
      <c r="A21" s="39">
        <v>8</v>
      </c>
      <c r="B21" s="40" t="s">
        <v>77</v>
      </c>
      <c r="C21" s="41" t="s">
        <v>81</v>
      </c>
      <c r="D21" s="42" t="str">
        <f>'codes templates'!$B$5</f>
        <v>int main(int argc,char *argv[])
{
 int i;
 for (i = 0; i &lt; argc; i++) {
  printf("argv[%d]:\"%s\"\n", i, argv[i]);
 }
 return 0;
}</v>
      </c>
      <c r="E21" s="43" t="s">
        <v>45</v>
      </c>
      <c r="F21" s="44" t="str">
        <f t="shared" si="13"/>
        <v>008_unsigned_long</v>
      </c>
      <c r="G21" s="45" t="str">
        <f t="shared" ca="1" si="0"/>
        <v>E:\Python-gdbnaut\test\1_input_files\0_test_source\008_unsigned_long.c</v>
      </c>
      <c r="H21" s="45" t="str">
        <f>SUBSTITUTE(SUBSTITUTE('codes templates'!$B$2,C$13,C21),D$13,D21)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1" s="62" t="b">
        <f>IF($G$7,makeSourceFile(H21,G21),FALSE)</f>
        <v>0</v>
      </c>
      <c r="J21" s="45" t="str">
        <f t="shared" ca="1" si="1"/>
        <v>E:\Python-gdbnaut\test\1_input_files\1_bebug_builds\008_unsigned_long.exe</v>
      </c>
      <c r="K21" s="47" t="str">
        <f t="shared" ca="1" si="14"/>
        <v>gcc "E:\Python-gdbnaut\test\1_input_files\0_test_source\008_unsigned_long.c" -o "E:\Python-gdbnaut\test\1_input_files\1_bebug_builds\008_unsigned_long.exe" -g -O0</v>
      </c>
      <c r="L21" s="48" t="b">
        <f>IF($G$8,doDosCmd(K21),FALSE)</f>
        <v>0</v>
      </c>
      <c r="M21" s="45" t="str">
        <f t="shared" si="15"/>
        <v>2_output_files/1_save_as/008_unsigned_long.json</v>
      </c>
      <c r="N21" s="47" t="str">
        <f t="shared" ca="1" si="16"/>
        <v>cd /d "E:\Python-gdbnaut\test" &amp;&amp; gdb "E:\Python-gdbnaut\test\1_input_files\1_bebug_builds\008_unsigned_long.exe" -ex "set $symbol_name = \"gi\"" -ex "set $out_path = \"2_output_files/1_save_as/008_unsigned_long.json\"" -x "E:\Python-gdbnaut\test\tester_script_1_for_gdbnaut.py"</v>
      </c>
      <c r="O21" s="45" t="str">
        <f t="shared" si="17"/>
        <v>2_output_files/1_save_as/008_unsigned_long.json</v>
      </c>
      <c r="P21" s="47" t="str">
        <f t="shared" si="18"/>
        <v>2_output_files/2_address_ignored/008_unsigned_long.json</v>
      </c>
      <c r="Q21" s="47" t="str">
        <f t="shared" ca="1" si="19"/>
        <v>cd /d "E:\Python-gdbnaut\test" &amp;&amp; python "E:\Python-gdbnaut\test\tester_script_2_for_gdbnaut_nogdb.py" "gi" "2_output_files/1_save_as/008_unsigned_long.json" "2_output_files/2_address_ignored/008_unsigned_long.json"</v>
      </c>
    </row>
    <row r="22" spans="1:17" ht="22.5" x14ac:dyDescent="0.15">
      <c r="A22" s="39">
        <v>9</v>
      </c>
      <c r="B22" s="40" t="s">
        <v>82</v>
      </c>
      <c r="C22" s="41" t="s">
        <v>83</v>
      </c>
      <c r="D22" s="42" t="str">
        <f>'codes templates'!$B$5</f>
        <v>int main(int argc,char *argv[])
{
 int i;
 for (i = 0; i &lt; argc; i++) {
  printf("argv[%d]:\"%s\"\n", i, argv[i]);
 }
 return 0;
}</v>
      </c>
      <c r="E22" s="43" t="s">
        <v>45</v>
      </c>
      <c r="F22" s="44" t="str">
        <f t="shared" ref="F22:F23" si="20">TEXT(A22,"000")&amp;"_"&amp;SUBSTITUTE(B22," ","_")</f>
        <v>009_signed_long_long</v>
      </c>
      <c r="G22" s="45" t="str">
        <f t="shared" ca="1" si="0"/>
        <v>E:\Python-gdbnaut\test\1_input_files\0_test_source\009_signed_long_long.c</v>
      </c>
      <c r="H22" s="45" t="str">
        <f>SUBSTITUTE(SUBSTITUTE('codes templates'!$B$2,C$13,C22),D$13,D22)</f>
        <v xml:space="preserve">#include &lt;stdio.h&gt;
typedef long long sint64;
volatile const sint64 gi = (-2147483649);
int main(int argc,char *argv[])
{
 int i;
 for (i = 0; i &lt; argc; i++) {
  printf("argv[%d]:\"%s\"\n", i, argv[i]);
 }
 return 0;
}
</v>
      </c>
      <c r="I22" s="62" t="b">
        <f>IF($G$7,makeSourceFile(H22,G22),FALSE)</f>
        <v>0</v>
      </c>
      <c r="J22" s="45" t="str">
        <f t="shared" ca="1" si="1"/>
        <v>E:\Python-gdbnaut\test\1_input_files\1_bebug_builds\009_signed_long_long.exe</v>
      </c>
      <c r="K22" s="47" t="str">
        <f t="shared" ref="K22:K23" ca="1" si="21">"gcc"&amp;" "&amp;""""&amp;G22&amp;""""&amp;" -o "&amp;""""&amp;J22&amp;""""&amp;" -g -O0"</f>
        <v>gcc "E:\Python-gdbnaut\test\1_input_files\0_test_source\009_signed_long_long.c" -o "E:\Python-gdbnaut\test\1_input_files\1_bebug_builds\009_signed_long_long.exe" -g -O0</v>
      </c>
      <c r="L22" s="48" t="b">
        <f>IF($G$8,doDosCmd(K22),FALSE)</f>
        <v>0</v>
      </c>
      <c r="M22" s="45" t="str">
        <f t="shared" ref="M22:M23" si="22">SUBSTITUTE(SUBSTITUTE($C$8,"\","/"),$C$5,F22)&amp;".json"</f>
        <v>2_output_files/1_save_as/009_signed_long_long.json</v>
      </c>
      <c r="N22" s="47" t="str">
        <f t="shared" ref="N22:N23" ca="1" si="23">"cd /d"&amp;" "&amp;
 """"&amp;$C$1&amp;""""&amp;
 " &amp;&amp; "&amp;
 "gdb"&amp;" "&amp;
 """"&amp;J22&amp;""""&amp;
 " -ex "&amp;
 """"&amp;"set"&amp;" "&amp;E$13&amp;" = \"""&amp;E22&amp;"\"""&amp;""""&amp;
 " -ex "&amp;
 """"&amp;"set"&amp;" "&amp;M$13&amp;" = \"""&amp;M22&amp;"\"""&amp;""""&amp;
 " -x "&amp;
 """"&amp;$C$1&amp;"\"&amp;$C$2&amp;""""</f>
        <v>cd /d "E:\Python-gdbnaut\test" &amp;&amp; gdb "E:\Python-gdbnaut\test\1_input_files\1_bebug_builds\009_signed_long_long.exe" -ex "set $symbol_name = \"gi\"" -ex "set $out_path = \"2_output_files/1_save_as/009_signed_long_long.json\"" -x "E:\Python-gdbnaut\test\tester_script_1_for_gdbnaut.py"</v>
      </c>
      <c r="O22" s="45" t="str">
        <f t="shared" ref="O22:O23" si="24">M22</f>
        <v>2_output_files/1_save_as/009_signed_long_long.json</v>
      </c>
      <c r="P22" s="47" t="str">
        <f t="shared" ref="P22:P23" si="25">SUBSTITUTE(SUBSTITUTE($C$9,"\","/"),$C$5,F22)&amp;".json"</f>
        <v>2_output_files/2_address_ignored/009_signed_long_long.json</v>
      </c>
      <c r="Q22" s="47" t="str">
        <f t="shared" ref="Q22:Q23" ca="1" si="26">"cd /d"&amp;" "&amp;
 """"&amp;$C$1&amp;""""&amp;
 " &amp;&amp; "&amp;
 "python"&amp;" "&amp;
 """"&amp;$C$1&amp;"\"&amp;$C$3&amp;""""&amp;" "&amp;
 """"&amp;E22&amp;""""&amp;" "&amp;
 """"&amp;O22&amp;""""&amp;" "&amp;
 """"&amp;P22&amp;""""</f>
        <v>cd /d "E:\Python-gdbnaut\test" &amp;&amp; python "E:\Python-gdbnaut\test\tester_script_2_for_gdbnaut_nogdb.py" "gi" "2_output_files/1_save_as/009_signed_long_long.json" "2_output_files/2_address_ignored/009_signed_long_long.json"</v>
      </c>
    </row>
    <row r="23" spans="1:17" ht="22.5" x14ac:dyDescent="0.15">
      <c r="A23" s="39">
        <v>10</v>
      </c>
      <c r="B23" s="40" t="s">
        <v>84</v>
      </c>
      <c r="C23" s="41" t="s">
        <v>122</v>
      </c>
      <c r="D23" s="42" t="str">
        <f>'codes templates'!$B$5</f>
        <v>int main(int argc,char *argv[])
{
 int i;
 for (i = 0; i &lt; argc; i++) {
  printf("argv[%d]:\"%s\"\n", i, argv[i]);
 }
 return 0;
}</v>
      </c>
      <c r="E23" s="43" t="s">
        <v>45</v>
      </c>
      <c r="F23" s="44" t="str">
        <f t="shared" si="20"/>
        <v>010_unsigned_long_long</v>
      </c>
      <c r="G23" s="45" t="str">
        <f t="shared" ca="1" si="0"/>
        <v>E:\Python-gdbnaut\test\1_input_files\0_test_source\010_unsigned_long_long.c</v>
      </c>
      <c r="H23" s="45" t="str">
        <f>SUBSTITUTE(SUBSTITUTE('codes templates'!$B$2,C$13,C23),D$13,D23)</f>
        <v xml:space="preserve">#include &lt;stdio.h&gt;
typedef unsigned long long uint64;
volatile const uint64 gi = (4294967297);
int main(int argc,char *argv[])
{
 int i;
 for (i = 0; i &lt; argc; i++) {
  printf("argv[%d]:\"%s\"\n", i, argv[i]);
 }
 return 0;
}
</v>
      </c>
      <c r="I23" s="62" t="b">
        <f>IF($G$7,makeSourceFile(H23,G23),FALSE)</f>
        <v>0</v>
      </c>
      <c r="J23" s="45" t="str">
        <f t="shared" ca="1" si="1"/>
        <v>E:\Python-gdbnaut\test\1_input_files\1_bebug_builds\010_unsigned_long_long.exe</v>
      </c>
      <c r="K23" s="47" t="str">
        <f t="shared" ca="1" si="21"/>
        <v>gcc "E:\Python-gdbnaut\test\1_input_files\0_test_source\010_unsigned_long_long.c" -o "E:\Python-gdbnaut\test\1_input_files\1_bebug_builds\010_unsigned_long_long.exe" -g -O0</v>
      </c>
      <c r="L23" s="48" t="b">
        <f>IF($G$8,doDosCmd(K23),FALSE)</f>
        <v>0</v>
      </c>
      <c r="M23" s="45" t="str">
        <f t="shared" si="22"/>
        <v>2_output_files/1_save_as/010_unsigned_long_long.json</v>
      </c>
      <c r="N23" s="47" t="str">
        <f t="shared" ca="1" si="23"/>
        <v>cd /d "E:\Python-gdbnaut\test" &amp;&amp; gdb "E:\Python-gdbnaut\test\1_input_files\1_bebug_builds\010_unsigned_long_long.exe" -ex "set $symbol_name = \"gi\"" -ex "set $out_path = \"2_output_files/1_save_as/010_unsigned_long_long.json\"" -x "E:\Python-gdbnaut\test\tester_script_1_for_gdbnaut.py"</v>
      </c>
      <c r="O23" s="45" t="str">
        <f t="shared" si="24"/>
        <v>2_output_files/1_save_as/010_unsigned_long_long.json</v>
      </c>
      <c r="P23" s="47" t="str">
        <f t="shared" si="25"/>
        <v>2_output_files/2_address_ignored/010_unsigned_long_long.json</v>
      </c>
      <c r="Q23" s="47" t="str">
        <f t="shared" ca="1" si="26"/>
        <v>cd /d "E:\Python-gdbnaut\test" &amp;&amp; python "E:\Python-gdbnaut\test\tester_script_2_for_gdbnaut_nogdb.py" "gi" "2_output_files/1_save_as/010_unsigned_long_long.json" "2_output_files/2_address_ignored/010_unsigned_long_long.json"</v>
      </c>
    </row>
    <row r="24" spans="1:17" ht="22.5" x14ac:dyDescent="0.15">
      <c r="A24" s="39">
        <v>11</v>
      </c>
      <c r="B24" s="40" t="s">
        <v>85</v>
      </c>
      <c r="C24" s="41" t="s">
        <v>87</v>
      </c>
      <c r="D24" s="42" t="str">
        <f>'codes templates'!$B$5</f>
        <v>int main(int argc,char *argv[])
{
 int i;
 for (i = 0; i &lt; argc; i++) {
  printf("argv[%d]:\"%s\"\n", i, argv[i]);
 }
 return 0;
}</v>
      </c>
      <c r="E24" s="43" t="s">
        <v>18</v>
      </c>
      <c r="F24" s="44" t="str">
        <f t="shared" ref="F24:F25" si="27">TEXT(A24,"000")&amp;"_"&amp;SUBSTITUTE(B24," ","_")</f>
        <v>011_float</v>
      </c>
      <c r="G24" s="45" t="str">
        <f t="shared" ca="1" si="0"/>
        <v>E:\Python-gdbnaut\test\1_input_files\0_test_source\011_float.c</v>
      </c>
      <c r="H24" s="45" t="str">
        <f>SUBSTITUTE(SUBSTITUTE('codes templates'!$B$2,C$13,C24),D$13,D24)</f>
        <v xml:space="preserve">#include &lt;stdio.h&gt;
typedef float float32;
volatile const float32 f = (16777216.0F);
int main(int argc,char *argv[])
{
 int i;
 for (i = 0; i &lt; argc; i++) {
  printf("argv[%d]:\"%s\"\n", i, argv[i]);
 }
 return 0;
}
</v>
      </c>
      <c r="I24" s="62" t="b">
        <f>IF($G$7,makeSourceFile(H24,G24),FALSE)</f>
        <v>0</v>
      </c>
      <c r="J24" s="45" t="str">
        <f t="shared" ca="1" si="1"/>
        <v>E:\Python-gdbnaut\test\1_input_files\1_bebug_builds\011_float.exe</v>
      </c>
      <c r="K24" s="47" t="str">
        <f t="shared" ref="K24:K25" ca="1" si="28">"gcc"&amp;" "&amp;""""&amp;G24&amp;""""&amp;" -o "&amp;""""&amp;J24&amp;""""&amp;" -g -O0"</f>
        <v>gcc "E:\Python-gdbnaut\test\1_input_files\0_test_source\011_float.c" -o "E:\Python-gdbnaut\test\1_input_files\1_bebug_builds\011_float.exe" -g -O0</v>
      </c>
      <c r="L24" s="48" t="b">
        <f>IF($G$8,doDosCmd(K24),FALSE)</f>
        <v>0</v>
      </c>
      <c r="M24" s="45" t="str">
        <f t="shared" ref="M24:M25" si="29">SUBSTITUTE(SUBSTITUTE($C$8,"\","/"),$C$5,F24)&amp;".json"</f>
        <v>2_output_files/1_save_as/011_float.json</v>
      </c>
      <c r="N24" s="47" t="str">
        <f t="shared" ref="N24:N25" ca="1" si="30">"cd /d"&amp;" "&amp;
 """"&amp;$C$1&amp;""""&amp;
 " &amp;&amp; "&amp;
 "gdb"&amp;" "&amp;
 """"&amp;J24&amp;""""&amp;
 " -ex "&amp;
 """"&amp;"set"&amp;" "&amp;E$13&amp;" = \"""&amp;E24&amp;"\"""&amp;""""&amp;
 " -ex "&amp;
 """"&amp;"set"&amp;" "&amp;M$13&amp;" = \"""&amp;M24&amp;"\"""&amp;""""&amp;
 " -x "&amp;
 """"&amp;$C$1&amp;"\"&amp;$C$2&amp;""""</f>
        <v>cd /d "E:\Python-gdbnaut\test" &amp;&amp; gdb "E:\Python-gdbnaut\test\1_input_files\1_bebug_builds\011_float.exe" -ex "set $symbol_name = \"f\"" -ex "set $out_path = \"2_output_files/1_save_as/011_float.json\"" -x "E:\Python-gdbnaut\test\tester_script_1_for_gdbnaut.py"</v>
      </c>
      <c r="O24" s="45" t="str">
        <f t="shared" ref="O24:O25" si="31">M24</f>
        <v>2_output_files/1_save_as/011_float.json</v>
      </c>
      <c r="P24" s="47" t="str">
        <f t="shared" ref="P24:P25" si="32">SUBSTITUTE(SUBSTITUTE($C$9,"\","/"),$C$5,F24)&amp;".json"</f>
        <v>2_output_files/2_address_ignored/011_float.json</v>
      </c>
      <c r="Q24" s="47" t="str">
        <f t="shared" ref="Q24:Q25" ca="1" si="33">"cd /d"&amp;" "&amp;
 """"&amp;$C$1&amp;""""&amp;
 " &amp;&amp; "&amp;
 "python"&amp;" "&amp;
 """"&amp;$C$1&amp;"\"&amp;$C$3&amp;""""&amp;" "&amp;
 """"&amp;E24&amp;""""&amp;" "&amp;
 """"&amp;O24&amp;""""&amp;" "&amp;
 """"&amp;P24&amp;""""</f>
        <v>cd /d "E:\Python-gdbnaut\test" &amp;&amp; python "E:\Python-gdbnaut\test\tester_script_2_for_gdbnaut_nogdb.py" "f" "2_output_files/1_save_as/011_float.json" "2_output_files/2_address_ignored/011_float.json"</v>
      </c>
    </row>
    <row r="25" spans="1:17" ht="22.5" x14ac:dyDescent="0.15">
      <c r="A25" s="39">
        <v>12</v>
      </c>
      <c r="B25" s="40" t="s">
        <v>86</v>
      </c>
      <c r="C25" s="41" t="s">
        <v>88</v>
      </c>
      <c r="D25" s="42" t="str">
        <f>'codes templates'!$B$5</f>
        <v>int main(int argc,char *argv[])
{
 int i;
 for (i = 0; i &lt; argc; i++) {
  printf("argv[%d]:\"%s\"\n", i, argv[i]);
 }
 return 0;
}</v>
      </c>
      <c r="E25" s="43" t="s">
        <v>19</v>
      </c>
      <c r="F25" s="44" t="str">
        <f t="shared" si="27"/>
        <v>012_double</v>
      </c>
      <c r="G25" s="45" t="str">
        <f t="shared" ca="1" si="0"/>
        <v>E:\Python-gdbnaut\test\1_input_files\0_test_source\012_double.c</v>
      </c>
      <c r="H25" s="45" t="str">
        <f>SUBSTITUTE(SUBSTITUTE('codes templates'!$B$2,C$13,C25),D$13,D25)</f>
        <v xml:space="preserve">#include &lt;stdio.h&gt;
typedef double float64;
volatile const float64 d = (16777216.0F);
int main(int argc,char *argv[])
{
 int i;
 for (i = 0; i &lt; argc; i++) {
  printf("argv[%d]:\"%s\"\n", i, argv[i]);
 }
 return 0;
}
</v>
      </c>
      <c r="I25" s="62" t="b">
        <f>IF($G$7,makeSourceFile(H25,G25),FALSE)</f>
        <v>0</v>
      </c>
      <c r="J25" s="45" t="str">
        <f t="shared" ca="1" si="1"/>
        <v>E:\Python-gdbnaut\test\1_input_files\1_bebug_builds\012_double.exe</v>
      </c>
      <c r="K25" s="47" t="str">
        <f t="shared" ca="1" si="28"/>
        <v>gcc "E:\Python-gdbnaut\test\1_input_files\0_test_source\012_double.c" -o "E:\Python-gdbnaut\test\1_input_files\1_bebug_builds\012_double.exe" -g -O0</v>
      </c>
      <c r="L25" s="48" t="b">
        <f>IF($G$8,doDosCmd(K25),FALSE)</f>
        <v>0</v>
      </c>
      <c r="M25" s="45" t="str">
        <f t="shared" si="29"/>
        <v>2_output_files/1_save_as/012_double.json</v>
      </c>
      <c r="N25" s="47" t="str">
        <f t="shared" ca="1" si="30"/>
        <v>cd /d "E:\Python-gdbnaut\test" &amp;&amp; gdb "E:\Python-gdbnaut\test\1_input_files\1_bebug_builds\012_double.exe" -ex "set $symbol_name = \"d\"" -ex "set $out_path = \"2_output_files/1_save_as/012_double.json\"" -x "E:\Python-gdbnaut\test\tester_script_1_for_gdbnaut.py"</v>
      </c>
      <c r="O25" s="45" t="str">
        <f t="shared" si="31"/>
        <v>2_output_files/1_save_as/012_double.json</v>
      </c>
      <c r="P25" s="47" t="str">
        <f t="shared" si="32"/>
        <v>2_output_files/2_address_ignored/012_double.json</v>
      </c>
      <c r="Q25" s="47" t="str">
        <f t="shared" ca="1" si="33"/>
        <v>cd /d "E:\Python-gdbnaut\test" &amp;&amp; python "E:\Python-gdbnaut\test\tester_script_2_for_gdbnaut_nogdb.py" "d" "2_output_files/1_save_as/012_double.json" "2_output_files/2_address_ignored/012_double.json"</v>
      </c>
    </row>
    <row r="26" spans="1:17" ht="22.5" x14ac:dyDescent="0.15">
      <c r="A26" s="39">
        <v>13</v>
      </c>
      <c r="B26" s="40" t="s">
        <v>89</v>
      </c>
      <c r="C26" s="41" t="s">
        <v>90</v>
      </c>
      <c r="D26" s="42" t="str">
        <f>'codes templates'!$B$5</f>
        <v>int main(int argc,char *argv[])
{
 int i;
 for (i = 0; i &lt; argc; i++) {
  printf("argv[%d]:\"%s\"\n", i, argv[i]);
 }
 return 0;
}</v>
      </c>
      <c r="E26" s="43" t="s">
        <v>43</v>
      </c>
      <c r="F26" s="44" t="str">
        <f t="shared" ref="F26" si="34">TEXT(A26,"000")&amp;"_"&amp;SUBSTITUTE(B26," ","_")</f>
        <v>013_string</v>
      </c>
      <c r="G26" s="45" t="str">
        <f t="shared" ca="1" si="0"/>
        <v>E:\Python-gdbnaut\test\1_input_files\0_test_source\013_string.c</v>
      </c>
      <c r="H26" s="45" t="str">
        <f>SUBSTITUTE(SUBSTITUTE('codes templates'!$B$2,C$13,C26),D$13,D26)</f>
        <v xml:space="preserve">#include &lt;stdio.h&gt;
typedef char sint8;
volatile const sint8 str[] = "hello world";
int main(int argc,char *argv[])
{
 int i;
 for (i = 0; i &lt; argc; i++) {
  printf("argv[%d]:\"%s\"\n", i, argv[i]);
 }
 return 0;
}
</v>
      </c>
      <c r="I26" s="62" t="b">
        <f>IF($G$7,makeSourceFile(H26,G26),FALSE)</f>
        <v>0</v>
      </c>
      <c r="J26" s="45" t="str">
        <f t="shared" ca="1" si="1"/>
        <v>E:\Python-gdbnaut\test\1_input_files\1_bebug_builds\013_string.exe</v>
      </c>
      <c r="K26" s="47" t="str">
        <f t="shared" ref="K26" ca="1" si="35">"gcc"&amp;" "&amp;""""&amp;G26&amp;""""&amp;" -o "&amp;""""&amp;J26&amp;""""&amp;" -g -O0"</f>
        <v>gcc "E:\Python-gdbnaut\test\1_input_files\0_test_source\013_string.c" -o "E:\Python-gdbnaut\test\1_input_files\1_bebug_builds\013_string.exe" -g -O0</v>
      </c>
      <c r="L26" s="48" t="b">
        <f>IF($G$8,doDosCmd(K26),FALSE)</f>
        <v>0</v>
      </c>
      <c r="M26" s="45" t="str">
        <f t="shared" ref="M26" si="36">SUBSTITUTE(SUBSTITUTE($C$8,"\","/"),$C$5,F26)&amp;".json"</f>
        <v>2_output_files/1_save_as/013_string.json</v>
      </c>
      <c r="N26" s="47" t="str">
        <f t="shared" ref="N26" ca="1" si="37">"cd /d"&amp;" "&amp;
 """"&amp;$C$1&amp;""""&amp;
 " &amp;&amp; "&amp;
 "gdb"&amp;" "&amp;
 """"&amp;J26&amp;""""&amp;
 " -ex "&amp;
 """"&amp;"set"&amp;" "&amp;E$13&amp;" = \"""&amp;E26&amp;"\"""&amp;""""&amp;
 " -ex "&amp;
 """"&amp;"set"&amp;" "&amp;M$13&amp;" = \"""&amp;M26&amp;"\"""&amp;""""&amp;
 " -x "&amp;
 """"&amp;$C$1&amp;"\"&amp;$C$2&amp;""""</f>
        <v>cd /d "E:\Python-gdbnaut\test" &amp;&amp; gdb "E:\Python-gdbnaut\test\1_input_files\1_bebug_builds\013_string.exe" -ex "set $symbol_name = \"str\"" -ex "set $out_path = \"2_output_files/1_save_as/013_string.json\"" -x "E:\Python-gdbnaut\test\tester_script_1_for_gdbnaut.py"</v>
      </c>
      <c r="O26" s="45" t="str">
        <f t="shared" ref="O26" si="38">M26</f>
        <v>2_output_files/1_save_as/013_string.json</v>
      </c>
      <c r="P26" s="47" t="str">
        <f t="shared" ref="P26" si="39">SUBSTITUTE(SUBSTITUTE($C$9,"\","/"),$C$5,F26)&amp;".json"</f>
        <v>2_output_files/2_address_ignored/013_string.json</v>
      </c>
      <c r="Q26" s="47" t="str">
        <f t="shared" ref="Q26" ca="1" si="40">"cd /d"&amp;" "&amp;
 """"&amp;$C$1&amp;""""&amp;
 " &amp;&amp; "&amp;
 "python"&amp;" "&amp;
 """"&amp;$C$1&amp;"\"&amp;$C$3&amp;""""&amp;" "&amp;
 """"&amp;E26&amp;""""&amp;" "&amp;
 """"&amp;O26&amp;""""&amp;" "&amp;
 """"&amp;P26&amp;""""</f>
        <v>cd /d "E:\Python-gdbnaut\test" &amp;&amp; python "E:\Python-gdbnaut\test\tester_script_2_for_gdbnaut_nogdb.py" "str" "2_output_files/1_save_as/013_string.json" "2_output_files/2_address_ignored/013_string.json"</v>
      </c>
    </row>
    <row r="27" spans="1:17" ht="45" x14ac:dyDescent="0.15">
      <c r="A27" s="39">
        <v>14</v>
      </c>
      <c r="B27" s="40" t="s">
        <v>91</v>
      </c>
      <c r="C27" s="50" t="s">
        <v>93</v>
      </c>
      <c r="D27" s="42" t="str">
        <f>'codes templates'!$B$5</f>
        <v>int main(int argc,char *argv[])
{
 int i;
 for (i = 0; i &lt; argc; i++) {
  printf("argv[%d]:\"%s\"\n", i, argv[i]);
 }
 return 0;
}</v>
      </c>
      <c r="E27" s="43" t="s">
        <v>92</v>
      </c>
      <c r="F27" s="44" t="str">
        <f t="shared" ref="F27" si="41">TEXT(A27,"000")&amp;"_"&amp;SUBSTITUTE(B27," ","_")</f>
        <v>014_pointer_and_double_pointer</v>
      </c>
      <c r="G27" s="45" t="str">
        <f t="shared" ca="1" si="0"/>
        <v>E:\Python-gdbnaut\test\1_input_files\0_test_source\014_pointer_and_double_pointer.c</v>
      </c>
      <c r="H27" s="45" t="str">
        <f>SUBSTITUTE(SUBSTITUTE('codes templates'!$B$2,C$13,C27),D$13,D27)</f>
        <v xml:space="preserve">#include &lt;stdio.h&gt;
typedef char sint8;
volatile const sint8 c = (-1);
volatile const sint8 *cp = &amp;c;
volatile const sint8 **cpp = &amp;cp;
int main(int argc,char *argv[])
{
 int i;
 for (i = 0; i &lt; argc; i++) {
  printf("argv[%d]:\"%s\"\n", i, argv[i]);
 }
 return 0;
}
</v>
      </c>
      <c r="I27" s="62" t="b">
        <f>IF($G$7,makeSourceFile(H27,G27),FALSE)</f>
        <v>0</v>
      </c>
      <c r="J27" s="45" t="str">
        <f t="shared" ca="1" si="1"/>
        <v>E:\Python-gdbnaut\test\1_input_files\1_bebug_builds\014_pointer_and_double_pointer.exe</v>
      </c>
      <c r="K27" s="47" t="str">
        <f t="shared" ref="K27" ca="1" si="42">"gcc"&amp;" "&amp;""""&amp;G27&amp;""""&amp;" -o "&amp;""""&amp;J27&amp;""""&amp;" -g -O0"</f>
        <v>gcc "E:\Python-gdbnaut\test\1_input_files\0_test_source\014_pointer_and_double_pointer.c" -o "E:\Python-gdbnaut\test\1_input_files\1_bebug_builds\014_pointer_and_double_pointer.exe" -g -O0</v>
      </c>
      <c r="L27" s="48" t="b">
        <f>IF($G$8,doDosCmd(K27),FALSE)</f>
        <v>0</v>
      </c>
      <c r="M27" s="45" t="str">
        <f t="shared" ref="M27" si="43">SUBSTITUTE(SUBSTITUTE($C$8,"\","/"),$C$5,F27)&amp;".json"</f>
        <v>2_output_files/1_save_as/014_pointer_and_double_pointer.json</v>
      </c>
      <c r="N27" s="47" t="str">
        <f t="shared" ref="N27" ca="1" si="44">"cd /d"&amp;" "&amp;
 """"&amp;$C$1&amp;""""&amp;
 " &amp;&amp; "&amp;
 "gdb"&amp;" "&amp;
 """"&amp;J27&amp;""""&amp;
 " -ex "&amp;
 """"&amp;"set"&amp;" "&amp;E$13&amp;" = \"""&amp;E27&amp;"\"""&amp;""""&amp;
 " -ex "&amp;
 """"&amp;"set"&amp;" "&amp;M$13&amp;" = \"""&amp;M27&amp;"\"""&amp;""""&amp;
 " -x "&amp;
 """"&amp;$C$1&amp;"\"&amp;$C$2&amp;""""</f>
        <v>cd /d "E:\Python-gdbnaut\test" &amp;&amp; gdb "E:\Python-gdbnaut\test\1_input_files\1_bebug_builds\014_pointer_and_double_pointer.exe" -ex "set $symbol_name = \"cpp\"" -ex "set $out_path = \"2_output_files/1_save_as/014_pointer_and_double_pointer.json\"" -x "E:\Python-gdbnaut\test\tester_script_1_for_gdbnaut.py"</v>
      </c>
      <c r="O27" s="45" t="str">
        <f t="shared" ref="O27" si="45">M27</f>
        <v>2_output_files/1_save_as/014_pointer_and_double_pointer.json</v>
      </c>
      <c r="P27" s="47" t="str">
        <f t="shared" ref="P27" si="46">SUBSTITUTE(SUBSTITUTE($C$9,"\","/"),$C$5,F27)&amp;".json"</f>
        <v>2_output_files/2_address_ignored/014_pointer_and_double_pointer.json</v>
      </c>
      <c r="Q27" s="47" t="str">
        <f t="shared" ref="Q27" ca="1" si="47">"cd /d"&amp;" "&amp;
 """"&amp;$C$1&amp;""""&amp;
 " &amp;&amp; "&amp;
 "python"&amp;" "&amp;
 """"&amp;$C$1&amp;"\"&amp;$C$3&amp;""""&amp;" "&amp;
 """"&amp;E27&amp;""""&amp;" "&amp;
 """"&amp;O27&amp;""""&amp;" "&amp;
 """"&amp;P27&amp;""""</f>
        <v>cd /d "E:\Python-gdbnaut\test" &amp;&amp; python "E:\Python-gdbnaut\test\tester_script_2_for_gdbnaut_nogdb.py" "cpp" "2_output_files/1_save_as/014_pointer_and_double_pointer.json" "2_output_files/2_address_ignored/014_pointer_and_double_pointer.json"</v>
      </c>
    </row>
    <row r="28" spans="1:17" ht="90" x14ac:dyDescent="0.15">
      <c r="A28" s="39">
        <v>15</v>
      </c>
      <c r="B28" s="40" t="s">
        <v>98</v>
      </c>
      <c r="C28" s="41" t="s">
        <v>94</v>
      </c>
      <c r="D28" s="42" t="str">
        <f>'codes templates'!$B$5</f>
        <v>int main(int argc,char *argv[])
{
 int i;
 for (i = 0; i &lt; argc; i++) {
  printf("argv[%d]:\"%s\"\n", i, argv[i]);
 }
 return 0;
}</v>
      </c>
      <c r="E28" s="43" t="s">
        <v>95</v>
      </c>
      <c r="F28" s="44" t="str">
        <f t="shared" ref="F28" si="48">TEXT(A28,"000")&amp;"_"&amp;SUBSTITUTE(B28," ","_")</f>
        <v>015_struct_by_typedef</v>
      </c>
      <c r="G28" s="45" t="str">
        <f t="shared" ca="1" si="0"/>
        <v>E:\Python-gdbnaut\test\1_input_files\0_test_source\015_struct_by_typedef.c</v>
      </c>
      <c r="H28" s="45" t="str">
        <f>SUBSTITUTE(SUBSTITUTE('codes templates'!$B$2,C$13,C28),D$13,D28)</f>
        <v xml:space="preserve">#include &lt;stdio.h&gt;
typedef struct{
    char c0;
    char c1;
}st_t;
volatile const st_t t = {
    (-1),
    1
};
int main(int argc,char *argv[])
{
 int i;
 for (i = 0; i &lt; argc; i++) {
  printf("argv[%d]:\"%s\"\n", i, argv[i]);
 }
 return 0;
}
</v>
      </c>
      <c r="I28" s="62" t="b">
        <f>IF($G$7,makeSourceFile(H28,G28),FALSE)</f>
        <v>0</v>
      </c>
      <c r="J28" s="45" t="str">
        <f t="shared" ca="1" si="1"/>
        <v>E:\Python-gdbnaut\test\1_input_files\1_bebug_builds\015_struct_by_typedef.exe</v>
      </c>
      <c r="K28" s="47" t="str">
        <f t="shared" ref="K28" ca="1" si="49">"gcc"&amp;" "&amp;""""&amp;G28&amp;""""&amp;" -o "&amp;""""&amp;J28&amp;""""&amp;" -g -O0"</f>
        <v>gcc "E:\Python-gdbnaut\test\1_input_files\0_test_source\015_struct_by_typedef.c" -o "E:\Python-gdbnaut\test\1_input_files\1_bebug_builds\015_struct_by_typedef.exe" -g -O0</v>
      </c>
      <c r="L28" s="48" t="b">
        <f>IF($G$8,doDosCmd(K28),FALSE)</f>
        <v>0</v>
      </c>
      <c r="M28" s="45" t="str">
        <f t="shared" ref="M28" si="50">SUBSTITUTE(SUBSTITUTE($C$8,"\","/"),$C$5,F28)&amp;".json"</f>
        <v>2_output_files/1_save_as/015_struct_by_typedef.json</v>
      </c>
      <c r="N28" s="47" t="str">
        <f t="shared" ref="N28" ca="1" si="51">"cd /d"&amp;" "&amp;
 """"&amp;$C$1&amp;""""&amp;
 " &amp;&amp; "&amp;
 "gdb"&amp;" "&amp;
 """"&amp;J28&amp;""""&amp;
 " -ex "&amp;
 """"&amp;"set"&amp;" "&amp;E$13&amp;" = \"""&amp;E28&amp;"\"""&amp;""""&amp;
 " -ex "&amp;
 """"&amp;"set"&amp;" "&amp;M$13&amp;" = \"""&amp;M28&amp;"\"""&amp;""""&amp;
 " -x "&amp;
 """"&amp;$C$1&amp;"\"&amp;$C$2&amp;""""</f>
        <v>cd /d "E:\Python-gdbnaut\test" &amp;&amp; gdb "E:\Python-gdbnaut\test\1_input_files\1_bebug_builds\015_struct_by_typedef.exe" -ex "set $symbol_name = \"t\"" -ex "set $out_path = \"2_output_files/1_save_as/015_struct_by_typedef.json\"" -x "E:\Python-gdbnaut\test\tester_script_1_for_gdbnaut.py"</v>
      </c>
      <c r="O28" s="45" t="str">
        <f t="shared" ref="O28" si="52">M28</f>
        <v>2_output_files/1_save_as/015_struct_by_typedef.json</v>
      </c>
      <c r="P28" s="47" t="str">
        <f t="shared" ref="P28" si="53">SUBSTITUTE(SUBSTITUTE($C$9,"\","/"),$C$5,F28)&amp;".json"</f>
        <v>2_output_files/2_address_ignored/015_struct_by_typedef.json</v>
      </c>
      <c r="Q28" s="47" t="str">
        <f t="shared" ref="Q28" ca="1" si="54">"cd /d"&amp;" "&amp;
 """"&amp;$C$1&amp;""""&amp;
 " &amp;&amp; "&amp;
 "python"&amp;" "&amp;
 """"&amp;$C$1&amp;"\"&amp;$C$3&amp;""""&amp;" "&amp;
 """"&amp;E28&amp;""""&amp;" "&amp;
 """"&amp;O28&amp;""""&amp;" "&amp;
 """"&amp;P28&amp;""""</f>
        <v>cd /d "E:\Python-gdbnaut\test" &amp;&amp; python "E:\Python-gdbnaut\test\tester_script_2_for_gdbnaut_nogdb.py" "t" "2_output_files/1_save_as/015_struct_by_typedef.json" "2_output_files/2_address_ignored/015_struct_by_typedef.json"</v>
      </c>
    </row>
    <row r="29" spans="1:17" ht="90" x14ac:dyDescent="0.15">
      <c r="A29" s="39">
        <v>16</v>
      </c>
      <c r="B29" s="40" t="s">
        <v>99</v>
      </c>
      <c r="C29" s="41" t="s">
        <v>96</v>
      </c>
      <c r="D29" s="42" t="str">
        <f>'codes templates'!$B$5</f>
        <v>int main(int argc,char *argv[])
{
 int i;
 for (i = 0; i &lt; argc; i++) {
  printf("argv[%d]:\"%s\"\n", i, argv[i]);
 }
 return 0;
}</v>
      </c>
      <c r="E29" s="43" t="s">
        <v>95</v>
      </c>
      <c r="F29" s="44" t="str">
        <f t="shared" ref="F29" si="55">TEXT(A29,"000")&amp;"_"&amp;SUBSTITUTE(B29," ","_")</f>
        <v>016_struct_by_typedef_with_name</v>
      </c>
      <c r="G29" s="45" t="str">
        <f t="shared" ca="1" si="0"/>
        <v>E:\Python-gdbnaut\test\1_input_files\0_test_source\016_struct_by_typedef_with_name.c</v>
      </c>
      <c r="H29" s="45" t="str">
        <f>SUBSTITUTE(SUBSTITUTE('codes templates'!$B$2,C$13,C29),D$13,D29)</f>
        <v xml:space="preserve">#include &lt;stdio.h&gt;
typedef struct st{
    char c0;
    char c1;
}st_t;
volatile const st_t t = {
    (-1),
    1
};
int main(int argc,char *argv[])
{
 int i;
 for (i = 0; i &lt; argc; i++) {
  printf("argv[%d]:\"%s\"\n", i, argv[i]);
 }
 return 0;
}
</v>
      </c>
      <c r="I29" s="62" t="b">
        <f>IF($G$7,makeSourceFile(H29,G29),FALSE)</f>
        <v>0</v>
      </c>
      <c r="J29" s="45" t="str">
        <f t="shared" ca="1" si="1"/>
        <v>E:\Python-gdbnaut\test\1_input_files\1_bebug_builds\016_struct_by_typedef_with_name.exe</v>
      </c>
      <c r="K29" s="47" t="str">
        <f t="shared" ref="K29" ca="1" si="56">"gcc"&amp;" "&amp;""""&amp;G29&amp;""""&amp;" -o "&amp;""""&amp;J29&amp;""""&amp;" -g -O0"</f>
        <v>gcc "E:\Python-gdbnaut\test\1_input_files\0_test_source\016_struct_by_typedef_with_name.c" -o "E:\Python-gdbnaut\test\1_input_files\1_bebug_builds\016_struct_by_typedef_with_name.exe" -g -O0</v>
      </c>
      <c r="L29" s="48" t="b">
        <f>IF($G$8,doDosCmd(K29),FALSE)</f>
        <v>0</v>
      </c>
      <c r="M29" s="45" t="str">
        <f t="shared" ref="M29" si="57">SUBSTITUTE(SUBSTITUTE($C$8,"\","/"),$C$5,F29)&amp;".json"</f>
        <v>2_output_files/1_save_as/016_struct_by_typedef_with_name.json</v>
      </c>
      <c r="N29" s="47" t="str">
        <f t="shared" ref="N29" ca="1" si="58">"cd /d"&amp;" "&amp;
 """"&amp;$C$1&amp;""""&amp;
 " &amp;&amp; "&amp;
 "gdb"&amp;" "&amp;
 """"&amp;J29&amp;""""&amp;
 " -ex "&amp;
 """"&amp;"set"&amp;" "&amp;E$13&amp;" = \"""&amp;E29&amp;"\"""&amp;""""&amp;
 " -ex "&amp;
 """"&amp;"set"&amp;" "&amp;M$13&amp;" = \"""&amp;M29&amp;"\"""&amp;""""&amp;
 " -x "&amp;
 """"&amp;$C$1&amp;"\"&amp;$C$2&amp;""""</f>
        <v>cd /d "E:\Python-gdbnaut\test" &amp;&amp; gdb "E:\Python-gdbnaut\test\1_input_files\1_bebug_builds\016_struct_by_typedef_with_name.exe" -ex "set $symbol_name = \"t\"" -ex "set $out_path = \"2_output_files/1_save_as/016_struct_by_typedef_with_name.json\"" -x "E:\Python-gdbnaut\test\tester_script_1_for_gdbnaut.py"</v>
      </c>
      <c r="O29" s="45" t="str">
        <f t="shared" ref="O29" si="59">M29</f>
        <v>2_output_files/1_save_as/016_struct_by_typedef_with_name.json</v>
      </c>
      <c r="P29" s="47" t="str">
        <f t="shared" ref="P29" si="60">SUBSTITUTE(SUBSTITUTE($C$9,"\","/"),$C$5,F29)&amp;".json"</f>
        <v>2_output_files/2_address_ignored/016_struct_by_typedef_with_name.json</v>
      </c>
      <c r="Q29" s="47" t="str">
        <f t="shared" ref="Q29" ca="1" si="61">"cd /d"&amp;" "&amp;
 """"&amp;$C$1&amp;""""&amp;
 " &amp;&amp; "&amp;
 "python"&amp;" "&amp;
 """"&amp;$C$1&amp;"\"&amp;$C$3&amp;""""&amp;" "&amp;
 """"&amp;E29&amp;""""&amp;" "&amp;
 """"&amp;O29&amp;""""&amp;" "&amp;
 """"&amp;P29&amp;""""</f>
        <v>cd /d "E:\Python-gdbnaut\test" &amp;&amp; python "E:\Python-gdbnaut\test\tester_script_2_for_gdbnaut_nogdb.py" "t" "2_output_files/1_save_as/016_struct_by_typedef_with_name.json" "2_output_files/2_address_ignored/016_struct_by_typedef_with_name.json"</v>
      </c>
    </row>
    <row r="30" spans="1:17" ht="90" x14ac:dyDescent="0.15">
      <c r="A30" s="39">
        <v>17</v>
      </c>
      <c r="B30" s="40" t="s">
        <v>97</v>
      </c>
      <c r="C30" s="41" t="s">
        <v>100</v>
      </c>
      <c r="D30" s="42" t="str">
        <f>'codes templates'!$B$5</f>
        <v>int main(int argc,char *argv[])
{
 int i;
 for (i = 0; i &lt; argc; i++) {
  printf("argv[%d]:\"%s\"\n", i, argv[i]);
 }
 return 0;
}</v>
      </c>
      <c r="E30" s="43" t="s">
        <v>95</v>
      </c>
      <c r="F30" s="44" t="str">
        <f t="shared" ref="F30" si="62">TEXT(A30,"000")&amp;"_"&amp;SUBSTITUTE(B30," ","_")</f>
        <v>017_struct</v>
      </c>
      <c r="G30" s="45" t="str">
        <f t="shared" ca="1" si="0"/>
        <v>E:\Python-gdbnaut\test\1_input_files\0_test_source\017_struct.c</v>
      </c>
      <c r="H30" s="45" t="str">
        <f>SUBSTITUTE(SUBSTITUTE('codes templates'!$B$2,C$13,C30),D$13,D30)</f>
        <v xml:space="preserve">#include &lt;stdio.h&gt;
struct st{
    char c0;
    char c1;
}st_t;
volatile const struct st t = {
    (-1),
    1
};
int main(int argc,char *argv[])
{
 int i;
 for (i = 0; i &lt; argc; i++) {
  printf("argv[%d]:\"%s\"\n", i, argv[i]);
 }
 return 0;
}
</v>
      </c>
      <c r="I30" s="62" t="b">
        <f>IF($G$7,makeSourceFile(H30,G30),FALSE)</f>
        <v>0</v>
      </c>
      <c r="J30" s="45" t="str">
        <f t="shared" ca="1" si="1"/>
        <v>E:\Python-gdbnaut\test\1_input_files\1_bebug_builds\017_struct.exe</v>
      </c>
      <c r="K30" s="47" t="str">
        <f t="shared" ref="K30" ca="1" si="63">"gcc"&amp;" "&amp;""""&amp;G30&amp;""""&amp;" -o "&amp;""""&amp;J30&amp;""""&amp;" -g -O0"</f>
        <v>gcc "E:\Python-gdbnaut\test\1_input_files\0_test_source\017_struct.c" -o "E:\Python-gdbnaut\test\1_input_files\1_bebug_builds\017_struct.exe" -g -O0</v>
      </c>
      <c r="L30" s="48" t="b">
        <f>IF($G$8,doDosCmd(K30),FALSE)</f>
        <v>0</v>
      </c>
      <c r="M30" s="45" t="str">
        <f t="shared" ref="M30" si="64">SUBSTITUTE(SUBSTITUTE($C$8,"\","/"),$C$5,F30)&amp;".json"</f>
        <v>2_output_files/1_save_as/017_struct.json</v>
      </c>
      <c r="N30" s="47" t="str">
        <f t="shared" ref="N30" ca="1" si="65">"cd /d"&amp;" "&amp;
 """"&amp;$C$1&amp;""""&amp;
 " &amp;&amp; "&amp;
 "gdb"&amp;" "&amp;
 """"&amp;J30&amp;""""&amp;
 " -ex "&amp;
 """"&amp;"set"&amp;" "&amp;E$13&amp;" = \"""&amp;E30&amp;"\"""&amp;""""&amp;
 " -ex "&amp;
 """"&amp;"set"&amp;" "&amp;M$13&amp;" = \"""&amp;M30&amp;"\"""&amp;""""&amp;
 " -x "&amp;
 """"&amp;$C$1&amp;"\"&amp;$C$2&amp;""""</f>
        <v>cd /d "E:\Python-gdbnaut\test" &amp;&amp; gdb "E:\Python-gdbnaut\test\1_input_files\1_bebug_builds\017_struct.exe" -ex "set $symbol_name = \"t\"" -ex "set $out_path = \"2_output_files/1_save_as/017_struct.json\"" -x "E:\Python-gdbnaut\test\tester_script_1_for_gdbnaut.py"</v>
      </c>
      <c r="O30" s="45" t="str">
        <f t="shared" ref="O30" si="66">M30</f>
        <v>2_output_files/1_save_as/017_struct.json</v>
      </c>
      <c r="P30" s="47" t="str">
        <f t="shared" ref="P30" si="67">SUBSTITUTE(SUBSTITUTE($C$9,"\","/"),$C$5,F30)&amp;".json"</f>
        <v>2_output_files/2_address_ignored/017_struct.json</v>
      </c>
      <c r="Q30" s="47" t="str">
        <f t="shared" ref="Q30" ca="1" si="68">"cd /d"&amp;" "&amp;
 """"&amp;$C$1&amp;""""&amp;
 " &amp;&amp; "&amp;
 "python"&amp;" "&amp;
 """"&amp;$C$1&amp;"\"&amp;$C$3&amp;""""&amp;" "&amp;
 """"&amp;E30&amp;""""&amp;" "&amp;
 """"&amp;O30&amp;""""&amp;" "&amp;
 """"&amp;P30&amp;""""</f>
        <v>cd /d "E:\Python-gdbnaut\test" &amp;&amp; python "E:\Python-gdbnaut\test\tester_script_2_for_gdbnaut_nogdb.py" "t" "2_output_files/1_save_as/017_struct.json" "2_output_files/2_address_ignored/017_struct.json"</v>
      </c>
    </row>
    <row r="31" spans="1:17" ht="191.25" x14ac:dyDescent="0.15">
      <c r="A31" s="39">
        <v>18</v>
      </c>
      <c r="B31" s="40" t="s">
        <v>103</v>
      </c>
      <c r="C31" s="41" t="s">
        <v>105</v>
      </c>
      <c r="D31" s="42" t="str">
        <f>'codes templates'!$B$5</f>
        <v>int main(int argc,char *argv[])
{
 int i;
 for (i = 0; i &lt; argc; i++) {
  printf("argv[%d]:\"%s\"\n", i, argv[i]);
 }
 return 0;
}</v>
      </c>
      <c r="E31" s="43" t="s">
        <v>104</v>
      </c>
      <c r="F31" s="44" t="str">
        <f t="shared" ref="F31" si="69">TEXT(A31,"000")&amp;"_"&amp;SUBSTITUTE(B31," ","_")</f>
        <v>018_struct_in_struct</v>
      </c>
      <c r="G31" s="45" t="str">
        <f t="shared" ca="1" si="0"/>
        <v>E:\Python-gdbnaut\test\1_input_files\0_test_source\018_struct_in_struct.c</v>
      </c>
      <c r="H31" s="45" t="str">
        <f>SUBSTITUTE(SUBSTITUTE('codes templates'!$B$2,C$13,C31),D$13,D31)</f>
        <v xml:space="preserve">#include &lt;stdio.h&gt;
typedef struct{
    char c0;
    char c1;
}st_t;
typedef struct{
    int i0;
    st_t s;
    float f;
}st_super;
volatile const st_super ss = {
    (-1),
    {
        (-2),
        2
    },
    (-0.5F)
};
int main(int argc,char *argv[])
{
 int i;
 for (i = 0; i &lt; argc; i++) {
  printf("argv[%d]:\"%s\"\n", i, argv[i]);
 }
 return 0;
}
</v>
      </c>
      <c r="I31" s="62" t="b">
        <f>IF($G$7,makeSourceFile(H31,G31),FALSE)</f>
        <v>0</v>
      </c>
      <c r="J31" s="45" t="str">
        <f t="shared" ca="1" si="1"/>
        <v>E:\Python-gdbnaut\test\1_input_files\1_bebug_builds\018_struct_in_struct.exe</v>
      </c>
      <c r="K31" s="47" t="str">
        <f t="shared" ref="K31" ca="1" si="70">"gcc"&amp;" "&amp;""""&amp;G31&amp;""""&amp;" -o "&amp;""""&amp;J31&amp;""""&amp;" -g -O0"</f>
        <v>gcc "E:\Python-gdbnaut\test\1_input_files\0_test_source\018_struct_in_struct.c" -o "E:\Python-gdbnaut\test\1_input_files\1_bebug_builds\018_struct_in_struct.exe" -g -O0</v>
      </c>
      <c r="L31" s="48" t="b">
        <f>IF($G$8,doDosCmd(K31),FALSE)</f>
        <v>0</v>
      </c>
      <c r="M31" s="45" t="str">
        <f t="shared" ref="M31" si="71">SUBSTITUTE(SUBSTITUTE($C$8,"\","/"),$C$5,F31)&amp;".json"</f>
        <v>2_output_files/1_save_as/018_struct_in_struct.json</v>
      </c>
      <c r="N31" s="47" t="str">
        <f t="shared" ref="N31" ca="1" si="72">"cd /d"&amp;" "&amp;
 """"&amp;$C$1&amp;""""&amp;
 " &amp;&amp; "&amp;
 "gdb"&amp;" "&amp;
 """"&amp;J31&amp;""""&amp;
 " -ex "&amp;
 """"&amp;"set"&amp;" "&amp;E$13&amp;" = \"""&amp;E31&amp;"\"""&amp;""""&amp;
 " -ex "&amp;
 """"&amp;"set"&amp;" "&amp;M$13&amp;" = \"""&amp;M31&amp;"\"""&amp;""""&amp;
 " -x "&amp;
 """"&amp;$C$1&amp;"\"&amp;$C$2&amp;""""</f>
        <v>cd /d "E:\Python-gdbnaut\test" &amp;&amp; gdb "E:\Python-gdbnaut\test\1_input_files\1_bebug_builds\018_struct_in_struct.exe" -ex "set $symbol_name = \"ss\"" -ex "set $out_path = \"2_output_files/1_save_as/018_struct_in_struct.json\"" -x "E:\Python-gdbnaut\test\tester_script_1_for_gdbnaut.py"</v>
      </c>
      <c r="O31" s="45" t="str">
        <f t="shared" ref="O31" si="73">M31</f>
        <v>2_output_files/1_save_as/018_struct_in_struct.json</v>
      </c>
      <c r="P31" s="47" t="str">
        <f t="shared" ref="P31" si="74">SUBSTITUTE(SUBSTITUTE($C$9,"\","/"),$C$5,F31)&amp;".json"</f>
        <v>2_output_files/2_address_ignored/018_struct_in_struct.json</v>
      </c>
      <c r="Q31" s="47" t="str">
        <f t="shared" ref="Q31" ca="1" si="75">"cd /d"&amp;" "&amp;
 """"&amp;$C$1&amp;""""&amp;
 " &amp;&amp; "&amp;
 "python"&amp;" "&amp;
 """"&amp;$C$1&amp;"\"&amp;$C$3&amp;""""&amp;" "&amp;
 """"&amp;E31&amp;""""&amp;" "&amp;
 """"&amp;O31&amp;""""&amp;" "&amp;
 """"&amp;P31&amp;""""</f>
        <v>cd /d "E:\Python-gdbnaut\test" &amp;&amp; python "E:\Python-gdbnaut\test\tester_script_2_for_gdbnaut_nogdb.py" "ss" "2_output_files/1_save_as/018_struct_in_struct.json" "2_output_files/2_address_ignored/018_struct_in_struct.json"</v>
      </c>
    </row>
    <row r="32" spans="1:17" ht="56.25" x14ac:dyDescent="0.15">
      <c r="A32" s="39">
        <v>19</v>
      </c>
      <c r="B32" s="40" t="s">
        <v>106</v>
      </c>
      <c r="C32" s="41" t="s">
        <v>107</v>
      </c>
      <c r="D32" s="42" t="str">
        <f>'codes templates'!$B$5</f>
        <v>int main(int argc,char *argv[])
{
 int i;
 for (i = 0; i &lt; argc; i++) {
  printf("argv[%d]:\"%s\"\n", i, argv[i]);
 }
 return 0;
}</v>
      </c>
      <c r="E32" s="43" t="s">
        <v>16</v>
      </c>
      <c r="F32" s="44" t="str">
        <f t="shared" ref="F32" si="76">TEXT(A32,"000")&amp;"_"&amp;SUBSTITUTE(B32," ","_")</f>
        <v>019_union_by_typedef</v>
      </c>
      <c r="G32" s="45" t="str">
        <f t="shared" ca="1" si="0"/>
        <v>E:\Python-gdbnaut\test\1_input_files\0_test_source\019_union_by_typedef.c</v>
      </c>
      <c r="H32" s="45" t="str">
        <f>SUBSTITUTE(SUBSTITUTE('codes templates'!$B$2,C$13,C32),D$13,D32)</f>
        <v xml:space="preserve">#include &lt;stdio.h&gt;
typedef union{
    unsigned char uint8;
    char sint8;
}int8;
volatile const int8 c = {(char)(-1)};
int main(int argc,char *argv[])
{
 int i;
 for (i = 0; i &lt; argc; i++) {
  printf("argv[%d]:\"%s\"\n", i, argv[i]);
 }
 return 0;
}
</v>
      </c>
      <c r="I32" s="62" t="b">
        <f>IF($G$7,makeSourceFile(H32,G32),FALSE)</f>
        <v>0</v>
      </c>
      <c r="J32" s="45" t="str">
        <f t="shared" ca="1" si="1"/>
        <v>E:\Python-gdbnaut\test\1_input_files\1_bebug_builds\019_union_by_typedef.exe</v>
      </c>
      <c r="K32" s="47" t="str">
        <f t="shared" ref="K32" ca="1" si="77">"gcc"&amp;" "&amp;""""&amp;G32&amp;""""&amp;" -o "&amp;""""&amp;J32&amp;""""&amp;" -g -O0"</f>
        <v>gcc "E:\Python-gdbnaut\test\1_input_files\0_test_source\019_union_by_typedef.c" -o "E:\Python-gdbnaut\test\1_input_files\1_bebug_builds\019_union_by_typedef.exe" -g -O0</v>
      </c>
      <c r="L32" s="48" t="b">
        <f>IF($G$8,doDosCmd(K32),FALSE)</f>
        <v>0</v>
      </c>
      <c r="M32" s="45" t="str">
        <f t="shared" ref="M32" si="78">SUBSTITUTE(SUBSTITUTE($C$8,"\","/"),$C$5,F32)&amp;".json"</f>
        <v>2_output_files/1_save_as/019_union_by_typedef.json</v>
      </c>
      <c r="N32" s="47" t="str">
        <f t="shared" ref="N32" ca="1" si="79">"cd /d"&amp;" "&amp;
 """"&amp;$C$1&amp;""""&amp;
 " &amp;&amp; "&amp;
 "gdb"&amp;" "&amp;
 """"&amp;J32&amp;""""&amp;
 " -ex "&amp;
 """"&amp;"set"&amp;" "&amp;E$13&amp;" = \"""&amp;E32&amp;"\"""&amp;""""&amp;
 " -ex "&amp;
 """"&amp;"set"&amp;" "&amp;M$13&amp;" = \"""&amp;M32&amp;"\"""&amp;""""&amp;
 " -x "&amp;
 """"&amp;$C$1&amp;"\"&amp;$C$2&amp;""""</f>
        <v>cd /d "E:\Python-gdbnaut\test" &amp;&amp; gdb "E:\Python-gdbnaut\test\1_input_files\1_bebug_builds\019_union_by_typedef.exe" -ex "set $symbol_name = \"c\"" -ex "set $out_path = \"2_output_files/1_save_as/019_union_by_typedef.json\"" -x "E:\Python-gdbnaut\test\tester_script_1_for_gdbnaut.py"</v>
      </c>
      <c r="O32" s="45" t="str">
        <f t="shared" ref="O32" si="80">M32</f>
        <v>2_output_files/1_save_as/019_union_by_typedef.json</v>
      </c>
      <c r="P32" s="47" t="str">
        <f t="shared" ref="P32" si="81">SUBSTITUTE(SUBSTITUTE($C$9,"\","/"),$C$5,F32)&amp;".json"</f>
        <v>2_output_files/2_address_ignored/019_union_by_typedef.json</v>
      </c>
      <c r="Q32" s="47" t="str">
        <f t="shared" ref="Q32" ca="1" si="82">"cd /d"&amp;" "&amp;
 """"&amp;$C$1&amp;""""&amp;
 " &amp;&amp; "&amp;
 "python"&amp;" "&amp;
 """"&amp;$C$1&amp;"\"&amp;$C$3&amp;""""&amp;" "&amp;
 """"&amp;E32&amp;""""&amp;" "&amp;
 """"&amp;O32&amp;""""&amp;" "&amp;
 """"&amp;P32&amp;""""</f>
        <v>cd /d "E:\Python-gdbnaut\test" &amp;&amp; python "E:\Python-gdbnaut\test\tester_script_2_for_gdbnaut_nogdb.py" "c" "2_output_files/1_save_as/019_union_by_typedef.json" "2_output_files/2_address_ignored/019_union_by_typedef.json"</v>
      </c>
    </row>
    <row r="33" spans="1:17" ht="56.25" x14ac:dyDescent="0.15">
      <c r="A33" s="39">
        <v>20</v>
      </c>
      <c r="B33" s="40" t="s">
        <v>108</v>
      </c>
      <c r="C33" s="41" t="s">
        <v>109</v>
      </c>
      <c r="D33" s="42" t="str">
        <f>'codes templates'!$B$5</f>
        <v>int main(int argc,char *argv[])
{
 int i;
 for (i = 0; i &lt; argc; i++) {
  printf("argv[%d]:\"%s\"\n", i, argv[i]);
 }
 return 0;
}</v>
      </c>
      <c r="E33" s="43" t="s">
        <v>16</v>
      </c>
      <c r="F33" s="44" t="str">
        <f t="shared" ref="F33" si="83">TEXT(A33,"000")&amp;"_"&amp;SUBSTITUTE(B33," ","_")</f>
        <v>020_union_by_typedef_with_name</v>
      </c>
      <c r="G33" s="45" t="str">
        <f t="shared" ca="1" si="0"/>
        <v>E:\Python-gdbnaut\test\1_input_files\0_test_source\020_union_by_typedef_with_name.c</v>
      </c>
      <c r="H33" s="45" t="str">
        <f>SUBSTITUTE(SUBSTITUTE('codes templates'!$B$2,C$13,C33),D$13,D33)</f>
        <v xml:space="preserve">#include &lt;stdio.h&gt;
typedef union i8{
    unsigned char uint8;
    char sint8;
}int8;
volatile const int8 c = {(char)(-1)};
int main(int argc,char *argv[])
{
 int i;
 for (i = 0; i &lt; argc; i++) {
  printf("argv[%d]:\"%s\"\n", i, argv[i]);
 }
 return 0;
}
</v>
      </c>
      <c r="I33" s="62" t="b">
        <f>IF($G$7,makeSourceFile(H33,G33),FALSE)</f>
        <v>0</v>
      </c>
      <c r="J33" s="45" t="str">
        <f t="shared" ca="1" si="1"/>
        <v>E:\Python-gdbnaut\test\1_input_files\1_bebug_builds\020_union_by_typedef_with_name.exe</v>
      </c>
      <c r="K33" s="47" t="str">
        <f t="shared" ref="K33" ca="1" si="84">"gcc"&amp;" "&amp;""""&amp;G33&amp;""""&amp;" -o "&amp;""""&amp;J33&amp;""""&amp;" -g -O0"</f>
        <v>gcc "E:\Python-gdbnaut\test\1_input_files\0_test_source\020_union_by_typedef_with_name.c" -o "E:\Python-gdbnaut\test\1_input_files\1_bebug_builds\020_union_by_typedef_with_name.exe" -g -O0</v>
      </c>
      <c r="L33" s="48" t="b">
        <f>IF($G$8,doDosCmd(K33),FALSE)</f>
        <v>0</v>
      </c>
      <c r="M33" s="45" t="str">
        <f t="shared" ref="M33" si="85">SUBSTITUTE(SUBSTITUTE($C$8,"\","/"),$C$5,F33)&amp;".json"</f>
        <v>2_output_files/1_save_as/020_union_by_typedef_with_name.json</v>
      </c>
      <c r="N33" s="47" t="str">
        <f t="shared" ref="N33" ca="1" si="86">"cd /d"&amp;" "&amp;
 """"&amp;$C$1&amp;""""&amp;
 " &amp;&amp; "&amp;
 "gdb"&amp;" "&amp;
 """"&amp;J33&amp;""""&amp;
 " -ex "&amp;
 """"&amp;"set"&amp;" "&amp;E$13&amp;" = \"""&amp;E33&amp;"\"""&amp;""""&amp;
 " -ex "&amp;
 """"&amp;"set"&amp;" "&amp;M$13&amp;" = \"""&amp;M33&amp;"\"""&amp;""""&amp;
 " -x "&amp;
 """"&amp;$C$1&amp;"\"&amp;$C$2&amp;""""</f>
        <v>cd /d "E:\Python-gdbnaut\test" &amp;&amp; gdb "E:\Python-gdbnaut\test\1_input_files\1_bebug_builds\020_union_by_typedef_with_name.exe" -ex "set $symbol_name = \"c\"" -ex "set $out_path = \"2_output_files/1_save_as/020_union_by_typedef_with_name.json\"" -x "E:\Python-gdbnaut\test\tester_script_1_for_gdbnaut.py"</v>
      </c>
      <c r="O33" s="45" t="str">
        <f t="shared" ref="O33" si="87">M33</f>
        <v>2_output_files/1_save_as/020_union_by_typedef_with_name.json</v>
      </c>
      <c r="P33" s="47" t="str">
        <f t="shared" ref="P33" si="88">SUBSTITUTE(SUBSTITUTE($C$9,"\","/"),$C$5,F33)&amp;".json"</f>
        <v>2_output_files/2_address_ignored/020_union_by_typedef_with_name.json</v>
      </c>
      <c r="Q33" s="47" t="str">
        <f t="shared" ref="Q33" ca="1" si="89">"cd /d"&amp;" "&amp;
 """"&amp;$C$1&amp;""""&amp;
 " &amp;&amp; "&amp;
 "python"&amp;" "&amp;
 """"&amp;$C$1&amp;"\"&amp;$C$3&amp;""""&amp;" "&amp;
 """"&amp;E33&amp;""""&amp;" "&amp;
 """"&amp;O33&amp;""""&amp;" "&amp;
 """"&amp;P33&amp;""""</f>
        <v>cd /d "E:\Python-gdbnaut\test" &amp;&amp; python "E:\Python-gdbnaut\test\tester_script_2_for_gdbnaut_nogdb.py" "c" "2_output_files/1_save_as/020_union_by_typedef_with_name.json" "2_output_files/2_address_ignored/020_union_by_typedef_with_name.json"</v>
      </c>
    </row>
    <row r="34" spans="1:17" ht="56.25" x14ac:dyDescent="0.15">
      <c r="A34" s="39">
        <v>21</v>
      </c>
      <c r="B34" s="40" t="s">
        <v>101</v>
      </c>
      <c r="C34" s="41" t="s">
        <v>110</v>
      </c>
      <c r="D34" s="42" t="str">
        <f>'codes templates'!$B$5</f>
        <v>int main(int argc,char *argv[])
{
 int i;
 for (i = 0; i &lt; argc; i++) {
  printf("argv[%d]:\"%s\"\n", i, argv[i]);
 }
 return 0;
}</v>
      </c>
      <c r="E34" s="43" t="s">
        <v>16</v>
      </c>
      <c r="F34" s="44" t="str">
        <f t="shared" ref="F34" si="90">TEXT(A34,"000")&amp;"_"&amp;SUBSTITUTE(B34," ","_")</f>
        <v>021_union</v>
      </c>
      <c r="G34" s="45" t="str">
        <f t="shared" ca="1" si="0"/>
        <v>E:\Python-gdbnaut\test\1_input_files\0_test_source\021_union.c</v>
      </c>
      <c r="H34" s="45" t="str">
        <f>SUBSTITUTE(SUBSTITUTE('codes templates'!$B$2,C$13,C34),D$13,D34)</f>
        <v xml:space="preserve">#include &lt;stdio.h&gt;
union i8{
    unsigned char uint8;
    char sint8;
};
volatile const union i8 c = {(char)(-1)};
int main(int argc,char *argv[])
{
 int i;
 for (i = 0; i &lt; argc; i++) {
  printf("argv[%d]:\"%s\"\n", i, argv[i]);
 }
 return 0;
}
</v>
      </c>
      <c r="I34" s="62" t="b">
        <f>IF($G$7,makeSourceFile(H34,G34),FALSE)</f>
        <v>0</v>
      </c>
      <c r="J34" s="45" t="str">
        <f t="shared" ca="1" si="1"/>
        <v>E:\Python-gdbnaut\test\1_input_files\1_bebug_builds\021_union.exe</v>
      </c>
      <c r="K34" s="47" t="str">
        <f t="shared" ref="K34" ca="1" si="91">"gcc"&amp;" "&amp;""""&amp;G34&amp;""""&amp;" -o "&amp;""""&amp;J34&amp;""""&amp;" -g -O0"</f>
        <v>gcc "E:\Python-gdbnaut\test\1_input_files\0_test_source\021_union.c" -o "E:\Python-gdbnaut\test\1_input_files\1_bebug_builds\021_union.exe" -g -O0</v>
      </c>
      <c r="L34" s="48" t="b">
        <f>IF($G$8,doDosCmd(K34),FALSE)</f>
        <v>0</v>
      </c>
      <c r="M34" s="45" t="str">
        <f t="shared" ref="M34" si="92">SUBSTITUTE(SUBSTITUTE($C$8,"\","/"),$C$5,F34)&amp;".json"</f>
        <v>2_output_files/1_save_as/021_union.json</v>
      </c>
      <c r="N34" s="47" t="str">
        <f t="shared" ref="N34" ca="1" si="93">"cd /d"&amp;" "&amp;
 """"&amp;$C$1&amp;""""&amp;
 " &amp;&amp; "&amp;
 "gdb"&amp;" "&amp;
 """"&amp;J34&amp;""""&amp;
 " -ex "&amp;
 """"&amp;"set"&amp;" "&amp;E$13&amp;" = \"""&amp;E34&amp;"\"""&amp;""""&amp;
 " -ex "&amp;
 """"&amp;"set"&amp;" "&amp;M$13&amp;" = \"""&amp;M34&amp;"\"""&amp;""""&amp;
 " -x "&amp;
 """"&amp;$C$1&amp;"\"&amp;$C$2&amp;""""</f>
        <v>cd /d "E:\Python-gdbnaut\test" &amp;&amp; gdb "E:\Python-gdbnaut\test\1_input_files\1_bebug_builds\021_union.exe" -ex "set $symbol_name = \"c\"" -ex "set $out_path = \"2_output_files/1_save_as/021_union.json\"" -x "E:\Python-gdbnaut\test\tester_script_1_for_gdbnaut.py"</v>
      </c>
      <c r="O34" s="45" t="str">
        <f t="shared" ref="O34" si="94">M34</f>
        <v>2_output_files/1_save_as/021_union.json</v>
      </c>
      <c r="P34" s="47" t="str">
        <f t="shared" ref="P34" si="95">SUBSTITUTE(SUBSTITUTE($C$9,"\","/"),$C$5,F34)&amp;".json"</f>
        <v>2_output_files/2_address_ignored/021_union.json</v>
      </c>
      <c r="Q34" s="47" t="str">
        <f t="shared" ref="Q34" ca="1" si="96">"cd /d"&amp;" "&amp;
 """"&amp;$C$1&amp;""""&amp;
 " &amp;&amp; "&amp;
 "python"&amp;" "&amp;
 """"&amp;$C$1&amp;"\"&amp;$C$3&amp;""""&amp;" "&amp;
 """"&amp;E34&amp;""""&amp;" "&amp;
 """"&amp;O34&amp;""""&amp;" "&amp;
 """"&amp;P34&amp;""""</f>
        <v>cd /d "E:\Python-gdbnaut\test" &amp;&amp; python "E:\Python-gdbnaut\test\tester_script_2_for_gdbnaut_nogdb.py" "c" "2_output_files/1_save_as/021_union.json" "2_output_files/2_address_ignored/021_union.json"</v>
      </c>
    </row>
    <row r="35" spans="1:17" ht="146.25" x14ac:dyDescent="0.15">
      <c r="A35" s="39">
        <v>22</v>
      </c>
      <c r="B35" s="40" t="s">
        <v>111</v>
      </c>
      <c r="C35" s="41" t="s">
        <v>112</v>
      </c>
      <c r="D35" s="42" t="str">
        <f>'codes templates'!$B$5</f>
        <v>int main(int argc,char *argv[])
{
 int i;
 for (i = 0; i &lt; argc; i++) {
  printf("argv[%d]:\"%s\"\n", i, argv[i]);
 }
 return 0;
}</v>
      </c>
      <c r="E35" s="43" t="s">
        <v>16</v>
      </c>
      <c r="F35" s="44" t="str">
        <f t="shared" ref="F35" si="97">TEXT(A35,"000")&amp;"_"&amp;SUBSTITUTE(B35," ","_")</f>
        <v>022_union_in_union</v>
      </c>
      <c r="G35" s="45" t="str">
        <f t="shared" ca="1" si="0"/>
        <v>E:\Python-gdbnaut\test\1_input_files\0_test_source\022_union_in_union.c</v>
      </c>
      <c r="H35" s="45" t="str">
        <f>SUBSTITUTE(SUBSTITUTE('codes templates'!$B$2,C$13,C35),D$13,D35)</f>
        <v xml:space="preserve">#include &lt;stdio.h&gt;
typedef union{
    unsigned char uint8;
    char sint8;
}int8;
typedef union{
    unsigned short uint16;
    short sint16;
}int16;
typedef union{
    int16 i16;
    int8 i8_array[2];
}size16;
volatile const size16 c = {(unsigned short)(255U)};
int main(int argc,char *argv[])
{
 int i;
 for (i = 0; i &lt; argc; i++) {
  printf("argv[%d]:\"%s\"\n", i, argv[i]);
 }
 return 0;
}
</v>
      </c>
      <c r="I35" s="62" t="b">
        <f>IF($G$7,makeSourceFile(H35,G35),FALSE)</f>
        <v>0</v>
      </c>
      <c r="J35" s="45" t="str">
        <f t="shared" ca="1" si="1"/>
        <v>E:\Python-gdbnaut\test\1_input_files\1_bebug_builds\022_union_in_union.exe</v>
      </c>
      <c r="K35" s="47" t="str">
        <f ca="1">"gcc"&amp;" "&amp;""""&amp;G35&amp;""""&amp;" -o "&amp;""""&amp;J35&amp;""""&amp;" -g -O0"</f>
        <v>gcc "E:\Python-gdbnaut\test\1_input_files\0_test_source\022_union_in_union.c" -o "E:\Python-gdbnaut\test\1_input_files\1_bebug_builds\022_union_in_union.exe" -g -O0</v>
      </c>
      <c r="L35" s="48" t="b">
        <f>IF($G$8,doDosCmd(K35),FALSE)</f>
        <v>0</v>
      </c>
      <c r="M35" s="45" t="str">
        <f t="shared" ref="M35" si="98">SUBSTITUTE(SUBSTITUTE($C$8,"\","/"),$C$5,F35)&amp;".json"</f>
        <v>2_output_files/1_save_as/022_union_in_union.json</v>
      </c>
      <c r="N35" s="47" t="str">
        <f t="shared" ref="N35" ca="1" si="99">"cd /d"&amp;" "&amp;
 """"&amp;$C$1&amp;""""&amp;
 " &amp;&amp; "&amp;
 "gdb"&amp;" "&amp;
 """"&amp;J35&amp;""""&amp;
 " -ex "&amp;
 """"&amp;"set"&amp;" "&amp;E$13&amp;" = \"""&amp;E35&amp;"\"""&amp;""""&amp;
 " -ex "&amp;
 """"&amp;"set"&amp;" "&amp;M$13&amp;" = \"""&amp;M35&amp;"\"""&amp;""""&amp;
 " -x "&amp;
 """"&amp;$C$1&amp;"\"&amp;$C$2&amp;""""</f>
        <v>cd /d "E:\Python-gdbnaut\test" &amp;&amp; gdb "E:\Python-gdbnaut\test\1_input_files\1_bebug_builds\022_union_in_union.exe" -ex "set $symbol_name = \"c\"" -ex "set $out_path = \"2_output_files/1_save_as/022_union_in_union.json\"" -x "E:\Python-gdbnaut\test\tester_script_1_for_gdbnaut.py"</v>
      </c>
      <c r="O35" s="45" t="str">
        <f t="shared" ref="O35" si="100">M35</f>
        <v>2_output_files/1_save_as/022_union_in_union.json</v>
      </c>
      <c r="P35" s="47" t="str">
        <f t="shared" ref="P35" si="101">SUBSTITUTE(SUBSTITUTE($C$9,"\","/"),$C$5,F35)&amp;".json"</f>
        <v>2_output_files/2_address_ignored/022_union_in_union.json</v>
      </c>
      <c r="Q35" s="47" t="str">
        <f t="shared" ref="Q35" ca="1" si="102">"cd /d"&amp;" "&amp;
 """"&amp;$C$1&amp;""""&amp;
 " &amp;&amp; "&amp;
 "python"&amp;" "&amp;
 """"&amp;$C$1&amp;"\"&amp;$C$3&amp;""""&amp;" "&amp;
 """"&amp;E35&amp;""""&amp;" "&amp;
 """"&amp;O35&amp;""""&amp;" "&amp;
 """"&amp;P35&amp;""""</f>
        <v>cd /d "E:\Python-gdbnaut\test" &amp;&amp; python "E:\Python-gdbnaut\test\tester_script_2_for_gdbnaut_nogdb.py" "c" "2_output_files/1_save_as/022_union_in_union.json" "2_output_files/2_address_ignored/022_union_in_union.json"</v>
      </c>
    </row>
    <row r="36" spans="1:17" ht="112.5" x14ac:dyDescent="0.15">
      <c r="A36" s="39">
        <v>23</v>
      </c>
      <c r="B36" s="40" t="s">
        <v>113</v>
      </c>
      <c r="C36" s="41" t="s">
        <v>115</v>
      </c>
      <c r="D36" s="42" t="str">
        <f>'codes templates'!$B$5</f>
        <v>int main(int argc,char *argv[])
{
 int i;
 for (i = 0; i &lt; argc; i++) {
  printf("argv[%d]:\"%s\"\n", i, argv[i]);
 }
 return 0;
}</v>
      </c>
      <c r="E36" s="43" t="s">
        <v>116</v>
      </c>
      <c r="F36" s="44" t="str">
        <f t="shared" ref="F36" si="103">TEXT(A36,"000")&amp;"_"&amp;SUBSTITUTE(B36," ","_")</f>
        <v>023_enum_by_typedef</v>
      </c>
      <c r="G36" s="45" t="str">
        <f t="shared" ca="1" si="0"/>
        <v>E:\Python-gdbnaut\test\1_input_files\0_test_source\023_enum_by_typedef.c</v>
      </c>
      <c r="H36" s="45" t="str">
        <f>SUBSTITUTE(SUBSTITUTE('codes templates'!$B$2,C$13,C36),D$13,D36)</f>
        <v xml:space="preserve">#include &lt;stdio.h&gt;
typedef enum{
  Mon = 1,
  Tue,
  Wed,
  Thu,
  Fri,
  Sat = 11,
  Sun
}wk;
volatile const wk week1 = Tue;
int main(int argc,char *argv[])
{
 int i;
 for (i = 0; i &lt; argc; i++) {
  printf("argv[%d]:\"%s\"\n", i, argv[i]);
 }
 return 0;
}
</v>
      </c>
      <c r="I36" s="62" t="b">
        <f>IF($G$7,makeSourceFile(H36,G36),FALSE)</f>
        <v>0</v>
      </c>
      <c r="J36" s="45" t="str">
        <f t="shared" ca="1" si="1"/>
        <v>E:\Python-gdbnaut\test\1_input_files\1_bebug_builds\023_enum_by_typedef.exe</v>
      </c>
      <c r="K36" s="47" t="str">
        <f ca="1">"gcc"&amp;" "&amp;""""&amp;G36&amp;""""&amp;" -o "&amp;""""&amp;J36&amp;""""&amp;" -g -O0"</f>
        <v>gcc "E:\Python-gdbnaut\test\1_input_files\0_test_source\023_enum_by_typedef.c" -o "E:\Python-gdbnaut\test\1_input_files\1_bebug_builds\023_enum_by_typedef.exe" -g -O0</v>
      </c>
      <c r="L36" s="48" t="b">
        <f>IF($G$8,doDosCmd(K36),FALSE)</f>
        <v>0</v>
      </c>
      <c r="M36" s="45" t="str">
        <f t="shared" ref="M36" si="104">SUBSTITUTE(SUBSTITUTE($C$8,"\","/"),$C$5,F36)&amp;".json"</f>
        <v>2_output_files/1_save_as/023_enum_by_typedef.json</v>
      </c>
      <c r="N36" s="47" t="str">
        <f t="shared" ref="N36" ca="1" si="105">"cd /d"&amp;" "&amp;
 """"&amp;$C$1&amp;""""&amp;
 " &amp;&amp; "&amp;
 "gdb"&amp;" "&amp;
 """"&amp;J36&amp;""""&amp;
 " -ex "&amp;
 """"&amp;"set"&amp;" "&amp;E$13&amp;" = \"""&amp;E36&amp;"\"""&amp;""""&amp;
 " -ex "&amp;
 """"&amp;"set"&amp;" "&amp;M$13&amp;" = \"""&amp;M36&amp;"\"""&amp;""""&amp;
 " -x "&amp;
 """"&amp;$C$1&amp;"\"&amp;$C$2&amp;""""</f>
        <v>cd /d "E:\Python-gdbnaut\test" &amp;&amp; gdb "E:\Python-gdbnaut\test\1_input_files\1_bebug_builds\023_enum_by_typedef.exe" -ex "set $symbol_name = \"week1\"" -ex "set $out_path = \"2_output_files/1_save_as/023_enum_by_typedef.json\"" -x "E:\Python-gdbnaut\test\tester_script_1_for_gdbnaut.py"</v>
      </c>
      <c r="O36" s="45" t="str">
        <f t="shared" ref="O36" si="106">M36</f>
        <v>2_output_files/1_save_as/023_enum_by_typedef.json</v>
      </c>
      <c r="P36" s="47" t="str">
        <f t="shared" ref="P36" si="107">SUBSTITUTE(SUBSTITUTE($C$9,"\","/"),$C$5,F36)&amp;".json"</f>
        <v>2_output_files/2_address_ignored/023_enum_by_typedef.json</v>
      </c>
      <c r="Q36" s="47" t="str">
        <f t="shared" ref="Q36" ca="1" si="108">"cd /d"&amp;" "&amp;
 """"&amp;$C$1&amp;""""&amp;
 " &amp;&amp; "&amp;
 "python"&amp;" "&amp;
 """"&amp;$C$1&amp;"\"&amp;$C$3&amp;""""&amp;" "&amp;
 """"&amp;E36&amp;""""&amp;" "&amp;
 """"&amp;O36&amp;""""&amp;" "&amp;
 """"&amp;P36&amp;""""</f>
        <v>cd /d "E:\Python-gdbnaut\test" &amp;&amp; python "E:\Python-gdbnaut\test\tester_script_2_for_gdbnaut_nogdb.py" "week1" "2_output_files/1_save_as/023_enum_by_typedef.json" "2_output_files/2_address_ignored/023_enum_by_typedef.json"</v>
      </c>
    </row>
    <row r="37" spans="1:17" ht="112.5" x14ac:dyDescent="0.15">
      <c r="A37" s="39">
        <v>24</v>
      </c>
      <c r="B37" s="40" t="s">
        <v>114</v>
      </c>
      <c r="C37" s="41" t="s">
        <v>117</v>
      </c>
      <c r="D37" s="42" t="str">
        <f>'codes templates'!$B$5</f>
        <v>int main(int argc,char *argv[])
{
 int i;
 for (i = 0; i &lt; argc; i++) {
  printf("argv[%d]:\"%s\"\n", i, argv[i]);
 }
 return 0;
}</v>
      </c>
      <c r="E37" s="43" t="s">
        <v>116</v>
      </c>
      <c r="F37" s="44" t="str">
        <f t="shared" ref="F37" si="109">TEXT(A37,"000")&amp;"_"&amp;SUBSTITUTE(B37," ","_")</f>
        <v>024_enum_by_typedef_with_name</v>
      </c>
      <c r="G37" s="45" t="str">
        <f t="shared" ca="1" si="0"/>
        <v>E:\Python-gdbnaut\test\1_input_files\0_test_source\024_enum_by_typedef_with_name.c</v>
      </c>
      <c r="H37" s="45" t="str">
        <f>SUBSTITUTE(SUBSTITUTE('codes templates'!$B$2,C$13,C37),D$13,D37)</f>
        <v xml:space="preserve">#include &lt;stdio.h&gt;
typedef enum e_wk{
  Mon = 1,
  Tue,
  Wed,
  Thu,
  Fri,
  Sat = 11,
  Sun
}wk;
volatile const wk week1 = Tue;
int main(int argc,char *argv[])
{
 int i;
 for (i = 0; i &lt; argc; i++) {
  printf("argv[%d]:\"%s\"\n", i, argv[i]);
 }
 return 0;
}
</v>
      </c>
      <c r="I37" s="62" t="b">
        <f>IF($G$7,makeSourceFile(H37,G37),FALSE)</f>
        <v>0</v>
      </c>
      <c r="J37" s="45" t="str">
        <f t="shared" ca="1" si="1"/>
        <v>E:\Python-gdbnaut\test\1_input_files\1_bebug_builds\024_enum_by_typedef_with_name.exe</v>
      </c>
      <c r="K37" s="47" t="str">
        <f ca="1">"gcc"&amp;" "&amp;""""&amp;G37&amp;""""&amp;" -o "&amp;""""&amp;J37&amp;""""&amp;" -g -O0"</f>
        <v>gcc "E:\Python-gdbnaut\test\1_input_files\0_test_source\024_enum_by_typedef_with_name.c" -o "E:\Python-gdbnaut\test\1_input_files\1_bebug_builds\024_enum_by_typedef_with_name.exe" -g -O0</v>
      </c>
      <c r="L37" s="48" t="b">
        <f>IF($G$8,doDosCmd(K37),FALSE)</f>
        <v>0</v>
      </c>
      <c r="M37" s="45" t="str">
        <f t="shared" ref="M37" si="110">SUBSTITUTE(SUBSTITUTE($C$8,"\","/"),$C$5,F37)&amp;".json"</f>
        <v>2_output_files/1_save_as/024_enum_by_typedef_with_name.json</v>
      </c>
      <c r="N37" s="47" t="str">
        <f t="shared" ref="N37" ca="1" si="111">"cd /d"&amp;" "&amp;
 """"&amp;$C$1&amp;""""&amp;
 " &amp;&amp; "&amp;
 "gdb"&amp;" "&amp;
 """"&amp;J37&amp;""""&amp;
 " -ex "&amp;
 """"&amp;"set"&amp;" "&amp;E$13&amp;" = \"""&amp;E37&amp;"\"""&amp;""""&amp;
 " -ex "&amp;
 """"&amp;"set"&amp;" "&amp;M$13&amp;" = \"""&amp;M37&amp;"\"""&amp;""""&amp;
 " -x "&amp;
 """"&amp;$C$1&amp;"\"&amp;$C$2&amp;""""</f>
        <v>cd /d "E:\Python-gdbnaut\test" &amp;&amp; gdb "E:\Python-gdbnaut\test\1_input_files\1_bebug_builds\024_enum_by_typedef_with_name.exe" -ex "set $symbol_name = \"week1\"" -ex "set $out_path = \"2_output_files/1_save_as/024_enum_by_typedef_with_name.json\"" -x "E:\Python-gdbnaut\test\tester_script_1_for_gdbnaut.py"</v>
      </c>
      <c r="O37" s="45" t="str">
        <f t="shared" ref="O37" si="112">M37</f>
        <v>2_output_files/1_save_as/024_enum_by_typedef_with_name.json</v>
      </c>
      <c r="P37" s="47" t="str">
        <f t="shared" ref="P37" si="113">SUBSTITUTE(SUBSTITUTE($C$9,"\","/"),$C$5,F37)&amp;".json"</f>
        <v>2_output_files/2_address_ignored/024_enum_by_typedef_with_name.json</v>
      </c>
      <c r="Q37" s="47" t="str">
        <f t="shared" ref="Q37" ca="1" si="114">"cd /d"&amp;" "&amp;
 """"&amp;$C$1&amp;""""&amp;
 " &amp;&amp; "&amp;
 "python"&amp;" "&amp;
 """"&amp;$C$1&amp;"\"&amp;$C$3&amp;""""&amp;" "&amp;
 """"&amp;E37&amp;""""&amp;" "&amp;
 """"&amp;O37&amp;""""&amp;" "&amp;
 """"&amp;P37&amp;""""</f>
        <v>cd /d "E:\Python-gdbnaut\test" &amp;&amp; python "E:\Python-gdbnaut\test\tester_script_2_for_gdbnaut_nogdb.py" "week1" "2_output_files/1_save_as/024_enum_by_typedef_with_name.json" "2_output_files/2_address_ignored/024_enum_by_typedef_with_name.json"</v>
      </c>
    </row>
    <row r="38" spans="1:17" ht="112.5" x14ac:dyDescent="0.15">
      <c r="A38" s="39">
        <v>25</v>
      </c>
      <c r="B38" s="40" t="s">
        <v>102</v>
      </c>
      <c r="C38" s="41" t="s">
        <v>118</v>
      </c>
      <c r="D38" s="42" t="str">
        <f>'codes templates'!$B$5</f>
        <v>int main(int argc,char *argv[])
{
 int i;
 for (i = 0; i &lt; argc; i++) {
  printf("argv[%d]:\"%s\"\n", i, argv[i]);
 }
 return 0;
}</v>
      </c>
      <c r="E38" s="43" t="s">
        <v>116</v>
      </c>
      <c r="F38" s="44" t="str">
        <f t="shared" ref="F38" si="115">TEXT(A38,"000")&amp;"_"&amp;SUBSTITUTE(B38," ","_")</f>
        <v>025_enum</v>
      </c>
      <c r="G38" s="45" t="str">
        <f t="shared" ca="1" si="0"/>
        <v>E:\Python-gdbnaut\test\1_input_files\0_test_source\025_enum.c</v>
      </c>
      <c r="H38" s="45" t="str">
        <f>SUBSTITUTE(SUBSTITUTE('codes templates'!$B$2,C$13,C38),D$13,D38)</f>
        <v xml:space="preserve">#include &lt;stdio.h&gt;
enum e_wk{
  Mon = 1,
  Tue,
  Wed,
  Thu,
  Fri,
  Sat = 11,
  Sun
};
volatile const enum e_wk week1 = Tue;
int main(int argc,char *argv[])
{
 int i;
 for (i = 0; i &lt; argc; i++) {
  printf("argv[%d]:\"%s\"\n", i, argv[i]);
 }
 return 0;
}
</v>
      </c>
      <c r="I38" s="62" t="b">
        <f>IF($G$7,makeSourceFile(H38,G38),FALSE)</f>
        <v>0</v>
      </c>
      <c r="J38" s="45" t="str">
        <f t="shared" ca="1" si="1"/>
        <v>E:\Python-gdbnaut\test\1_input_files\1_bebug_builds\025_enum.exe</v>
      </c>
      <c r="K38" s="47" t="str">
        <f ca="1">"gcc"&amp;" "&amp;""""&amp;G38&amp;""""&amp;" -o "&amp;""""&amp;J38&amp;""""&amp;" -g -O0"</f>
        <v>gcc "E:\Python-gdbnaut\test\1_input_files\0_test_source\025_enum.c" -o "E:\Python-gdbnaut\test\1_input_files\1_bebug_builds\025_enum.exe" -g -O0</v>
      </c>
      <c r="L38" s="48" t="b">
        <f>IF($G$8,doDosCmd(K38),FALSE)</f>
        <v>0</v>
      </c>
      <c r="M38" s="45" t="str">
        <f t="shared" ref="M38" si="116">SUBSTITUTE(SUBSTITUTE($C$8,"\","/"),$C$5,F38)&amp;".json"</f>
        <v>2_output_files/1_save_as/025_enum.json</v>
      </c>
      <c r="N38" s="47" t="str">
        <f t="shared" ref="N38" ca="1" si="117">"cd /d"&amp;" "&amp;
 """"&amp;$C$1&amp;""""&amp;
 " &amp;&amp; "&amp;
 "gdb"&amp;" "&amp;
 """"&amp;J38&amp;""""&amp;
 " -ex "&amp;
 """"&amp;"set"&amp;" "&amp;E$13&amp;" = \"""&amp;E38&amp;"\"""&amp;""""&amp;
 " -ex "&amp;
 """"&amp;"set"&amp;" "&amp;M$13&amp;" = \"""&amp;M38&amp;"\"""&amp;""""&amp;
 " -x "&amp;
 """"&amp;$C$1&amp;"\"&amp;$C$2&amp;""""</f>
        <v>cd /d "E:\Python-gdbnaut\test" &amp;&amp; gdb "E:\Python-gdbnaut\test\1_input_files\1_bebug_builds\025_enum.exe" -ex "set $symbol_name = \"week1\"" -ex "set $out_path = \"2_output_files/1_save_as/025_enum.json\"" -x "E:\Python-gdbnaut\test\tester_script_1_for_gdbnaut.py"</v>
      </c>
      <c r="O38" s="45" t="str">
        <f t="shared" ref="O38" si="118">M38</f>
        <v>2_output_files/1_save_as/025_enum.json</v>
      </c>
      <c r="P38" s="47" t="str">
        <f t="shared" ref="P38" si="119">SUBSTITUTE(SUBSTITUTE($C$9,"\","/"),$C$5,F38)&amp;".json"</f>
        <v>2_output_files/2_address_ignored/025_enum.json</v>
      </c>
      <c r="Q38" s="47" t="str">
        <f t="shared" ref="Q38" ca="1" si="120">"cd /d"&amp;" "&amp;
 """"&amp;$C$1&amp;""""&amp;
 " &amp;&amp; "&amp;
 "python"&amp;" "&amp;
 """"&amp;$C$1&amp;"\"&amp;$C$3&amp;""""&amp;" "&amp;
 """"&amp;E38&amp;""""&amp;" "&amp;
 """"&amp;O38&amp;""""&amp;" "&amp;
 """"&amp;P38&amp;""""</f>
        <v>cd /d "E:\Python-gdbnaut\test" &amp;&amp; python "E:\Python-gdbnaut\test\tester_script_2_for_gdbnaut_nogdb.py" "week1" "2_output_files/1_save_as/025_enum.json" "2_output_files/2_address_ignored/025_enum.json"</v>
      </c>
    </row>
    <row r="39" spans="1:17" ht="409.5" x14ac:dyDescent="0.15">
      <c r="A39" s="39">
        <v>26</v>
      </c>
      <c r="B39" s="40" t="s">
        <v>119</v>
      </c>
      <c r="C39" s="41" t="s">
        <v>120</v>
      </c>
      <c r="D39" s="42" t="str">
        <f>'codes templates'!$B$5</f>
        <v>int main(int argc,char *argv[])
{
 int i;
 for (i = 0; i &lt; argc; i++) {
  printf("argv[%d]:\"%s\"\n", i, argv[i]);
 }
 return 0;
}</v>
      </c>
      <c r="E39" s="43" t="s">
        <v>121</v>
      </c>
      <c r="F39" s="44" t="str">
        <f t="shared" ref="F39" si="121">TEXT(A39,"000")&amp;"_"&amp;SUBSTITUTE(B39," ","_")</f>
        <v>026_mix</v>
      </c>
      <c r="G39" s="45" t="str">
        <f t="shared" ca="1" si="0"/>
        <v>E:\Python-gdbnaut\test\1_input_files\0_test_source\026_mix.c</v>
      </c>
      <c r="H39" s="45" t="str">
        <f>SUBSTITUTE(SUBSTITUTE('codes templates'!$B$2,C$13,C39),D$13,D39)</f>
        <v xml:space="preserve">#include &lt;stdio.h&gt;
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
int main(int argc,char *argv[])
{
 int i;
 for (i = 0; i &lt; argc; i++) {
  printf("argv[%d]:\"%s\"\n", i, argv[i]);
 }
 return 0;
}
</v>
      </c>
      <c r="I39" s="62" t="b">
        <f>IF($G$7,makeSourceFile(H39,G39),FALSE)</f>
        <v>0</v>
      </c>
      <c r="J39" s="45" t="str">
        <f t="shared" ca="1" si="1"/>
        <v>E:\Python-gdbnaut\test\1_input_files\1_bebug_builds\026_mix.exe</v>
      </c>
      <c r="K39" s="47" t="str">
        <f t="shared" ref="K39" ca="1" si="122">"gcc"&amp;" "&amp;""""&amp;G39&amp;""""&amp;" -o "&amp;""""&amp;J39&amp;""""&amp;" -g -O0"</f>
        <v>gcc "E:\Python-gdbnaut\test\1_input_files\0_test_source\026_mix.c" -o "E:\Python-gdbnaut\test\1_input_files\1_bebug_builds\026_mix.exe" -g -O0</v>
      </c>
      <c r="L39" s="48" t="b">
        <f>IF($G$8,doDosCmd(K39),FALSE)</f>
        <v>0</v>
      </c>
      <c r="M39" s="45" t="str">
        <f t="shared" ref="M39" si="123">SUBSTITUTE(SUBSTITUTE($C$8,"\","/"),$C$5,F39)&amp;".json"</f>
        <v>2_output_files/1_save_as/026_mix.json</v>
      </c>
      <c r="N39" s="47" t="str">
        <f t="shared" ref="N39" ca="1" si="124">"cd /d"&amp;" "&amp;
 """"&amp;$C$1&amp;""""&amp;
 " &amp;&amp; "&amp;
 "gdb"&amp;" "&amp;
 """"&amp;J39&amp;""""&amp;
 " -ex "&amp;
 """"&amp;"set"&amp;" "&amp;E$13&amp;" = \"""&amp;E39&amp;"\"""&amp;""""&amp;
 " -ex "&amp;
 """"&amp;"set"&amp;" "&amp;M$13&amp;" = \"""&amp;M39&amp;"\"""&amp;""""&amp;
 " -x "&amp;
 """"&amp;$C$1&amp;"\"&amp;$C$2&amp;""""</f>
        <v>cd /d "E:\Python-gdbnaut\test" &amp;&amp; gdb "E:\Python-gdbnaut\test\1_input_files\1_bebug_builds\026_mix.exe" -ex "set $symbol_name = \"gsym0_t_st_0\"" -ex "set $out_path = \"2_output_files/1_save_as/026_mix.json\"" -x "E:\Python-gdbnaut\test\tester_script_1_for_gdbnaut.py"</v>
      </c>
      <c r="O39" s="45" t="str">
        <f t="shared" ref="O39" si="125">M39</f>
        <v>2_output_files/1_save_as/026_mix.json</v>
      </c>
      <c r="P39" s="47" t="str">
        <f t="shared" ref="P39" si="126">SUBSTITUTE(SUBSTITUTE($C$9,"\","/"),$C$5,F39)&amp;".json"</f>
        <v>2_output_files/2_address_ignored/026_mix.json</v>
      </c>
      <c r="Q39" s="47" t="str">
        <f t="shared" ref="Q39" ca="1" si="127">"cd /d"&amp;" "&amp;
 """"&amp;$C$1&amp;""""&amp;
 " &amp;&amp; "&amp;
 "python"&amp;" "&amp;
 """"&amp;$C$1&amp;"\"&amp;$C$3&amp;""""&amp;" "&amp;
 """"&amp;E39&amp;""""&amp;" "&amp;
 """"&amp;O39&amp;""""&amp;" "&amp;
 """"&amp;P39&amp;""""</f>
        <v>cd /d "E:\Python-gdbnaut\test" &amp;&amp; python "E:\Python-gdbnaut\test\tester_script_2_for_gdbnaut_nogdb.py" "gsym0_t_st_0" "2_output_files/1_save_as/026_mix.json" "2_output_files/2_address_ignored/026_mix.json"</v>
      </c>
    </row>
    <row r="40" spans="1:17" x14ac:dyDescent="0.15">
      <c r="A40" s="39">
        <v>27</v>
      </c>
      <c r="B40" s="40" t="s">
        <v>46</v>
      </c>
      <c r="C40" s="49" t="str">
        <f>""</f>
        <v/>
      </c>
      <c r="D40" s="42" t="str">
        <f>'codes templates'!$B$5</f>
        <v>int main(int argc,char *argv[])
{
 int i;
 for (i = 0; i &lt; argc; i++) {
  printf("argv[%d]:\"%s\"\n", i, argv[i]);
 }
 return 0;
}</v>
      </c>
      <c r="E40" s="43" t="s">
        <v>47</v>
      </c>
      <c r="F40" s="44" t="str">
        <f t="shared" ref="F40:F47" si="128">TEXT(A40,"000")&amp;"_"&amp;SUBSTITUTE(B40," ","_")</f>
        <v>027_main_function</v>
      </c>
      <c r="G40" s="45" t="str">
        <f t="shared" ca="1" si="0"/>
        <v>E:\Python-gdbnaut\test\1_input_files\0_test_source\027_main_function.c</v>
      </c>
      <c r="H40" s="45" t="str">
        <f>SUBSTITUTE(SUBSTITUTE('codes templates'!$B$2,C$13,C40),D$13,D40)</f>
        <v xml:space="preserve">#include &lt;stdio.h&gt;
int main(int argc,char *argv[])
{
 int i;
 for (i = 0; i &lt; argc; i++) {
  printf("argv[%d]:\"%s\"\n", i, argv[i]);
 }
 return 0;
}
</v>
      </c>
      <c r="I40" s="62" t="b">
        <f>IF($G$7,makeSourceFile(H40,G40),FALSE)</f>
        <v>0</v>
      </c>
      <c r="J40" s="45" t="str">
        <f t="shared" ca="1" si="1"/>
        <v>E:\Python-gdbnaut\test\1_input_files\1_bebug_builds\027_main_function.exe</v>
      </c>
      <c r="K40" s="47" t="str">
        <f t="shared" ref="K40:K47" ca="1" si="129">"gcc"&amp;" "&amp;""""&amp;G40&amp;""""&amp;" -o "&amp;""""&amp;J40&amp;""""&amp;" -g -O0"</f>
        <v>gcc "E:\Python-gdbnaut\test\1_input_files\0_test_source\027_main_function.c" -o "E:\Python-gdbnaut\test\1_input_files\1_bebug_builds\027_main_function.exe" -g -O0</v>
      </c>
      <c r="L40" s="48" t="b">
        <f>IF($G$8,doDosCmd(K40),FALSE)</f>
        <v>0</v>
      </c>
      <c r="M40" s="45" t="str">
        <f t="shared" ref="M40:M47" si="130">SUBSTITUTE(SUBSTITUTE($C$8,"\","/"),$C$5,F40)&amp;".json"</f>
        <v>2_output_files/1_save_as/027_main_function.json</v>
      </c>
      <c r="N40" s="47" t="str">
        <f t="shared" ref="N40:N47" ca="1" si="131">"cd /d"&amp;" "&amp;
 """"&amp;$C$1&amp;""""&amp;
 " &amp;&amp; "&amp;
 "gdb"&amp;" "&amp;
 """"&amp;J40&amp;""""&amp;
 " -ex "&amp;
 """"&amp;"set"&amp;" "&amp;E$13&amp;" = \"""&amp;E40&amp;"\"""&amp;""""&amp;
 " -ex "&amp;
 """"&amp;"set"&amp;" "&amp;M$13&amp;" = \"""&amp;M40&amp;"\"""&amp;""""&amp;
 " -x "&amp;
 """"&amp;$C$1&amp;"\"&amp;$C$2&amp;""""</f>
        <v>cd /d "E:\Python-gdbnaut\test" &amp;&amp; gdb "E:\Python-gdbnaut\test\1_input_files\1_bebug_builds\027_main_function.exe" -ex "set $symbol_name = \"main\"" -ex "set $out_path = \"2_output_files/1_save_as/027_main_function.json\"" -x "E:\Python-gdbnaut\test\tester_script_1_for_gdbnaut.py"</v>
      </c>
      <c r="O40" s="45" t="str">
        <f t="shared" ref="O40:O47" si="132">M40</f>
        <v>2_output_files/1_save_as/027_main_function.json</v>
      </c>
      <c r="P40" s="47" t="str">
        <f t="shared" ref="P40:P47" si="133">SUBSTITUTE(SUBSTITUTE($C$9,"\","/"),$C$5,F40)&amp;".json"</f>
        <v>2_output_files/2_address_ignored/027_main_function.json</v>
      </c>
      <c r="Q40" s="47" t="str">
        <f t="shared" ref="Q40:Q47" ca="1" si="134">"cd /d"&amp;" "&amp;
 """"&amp;$C$1&amp;""""&amp;
 " &amp;&amp; "&amp;
 "python"&amp;" "&amp;
 """"&amp;$C$1&amp;"\"&amp;$C$3&amp;""""&amp;" "&amp;
 """"&amp;E40&amp;""""&amp;" "&amp;
 """"&amp;O40&amp;""""&amp;" "&amp;
 """"&amp;P40&amp;""""</f>
        <v>cd /d "E:\Python-gdbnaut\test" &amp;&amp; python "E:\Python-gdbnaut\test\tester_script_2_for_gdbnaut_nogdb.py" "main" "2_output_files/1_save_as/027_main_function.json" "2_output_files/2_address_ignored/027_main_function.json"</v>
      </c>
    </row>
    <row r="41" spans="1:17" x14ac:dyDescent="0.15">
      <c r="A41" s="39">
        <v>28</v>
      </c>
      <c r="B41" s="40" t="s">
        <v>54</v>
      </c>
      <c r="C41" s="49" t="str">
        <f>""</f>
        <v/>
      </c>
      <c r="D41" s="42" t="str">
        <f>'codes templates'!$B$5</f>
        <v>int main(int argc,char *argv[])
{
 int i;
 for (i = 0; i &lt; argc; i++) {
  printf("argv[%d]:\"%s\"\n", i, argv[i]);
 }
 return 0;
}</v>
      </c>
      <c r="E41" s="43" t="s">
        <v>52</v>
      </c>
      <c r="F41" s="44" t="str">
        <f t="shared" si="128"/>
        <v>028_argument1</v>
      </c>
      <c r="G41" s="45" t="str">
        <f t="shared" ca="1" si="0"/>
        <v>E:\Python-gdbnaut\test\1_input_files\0_test_source\028_argument1.c</v>
      </c>
      <c r="H41" s="45" t="str">
        <f>SUBSTITUTE(SUBSTITUTE('codes templates'!$B$2,C$13,C41),D$13,D41)</f>
        <v xml:space="preserve">#include &lt;stdio.h&gt;
int main(int argc,char *argv[])
{
 int i;
 for (i = 0; i &lt; argc; i++) {
  printf("argv[%d]:\"%s\"\n", i, argv[i]);
 }
 return 0;
}
</v>
      </c>
      <c r="I41" s="62" t="b">
        <f>IF($G$7,makeSourceFile(H41,G41),FALSE)</f>
        <v>0</v>
      </c>
      <c r="J41" s="45" t="str">
        <f t="shared" ca="1" si="1"/>
        <v>E:\Python-gdbnaut\test\1_input_files\1_bebug_builds\028_argument1.exe</v>
      </c>
      <c r="K41" s="47" t="str">
        <f t="shared" ca="1" si="129"/>
        <v>gcc "E:\Python-gdbnaut\test\1_input_files\0_test_source\028_argument1.c" -o "E:\Python-gdbnaut\test\1_input_files\1_bebug_builds\028_argument1.exe" -g -O0</v>
      </c>
      <c r="L41" s="48" t="b">
        <f>IF($G$8,doDosCmd(K41),FALSE)</f>
        <v>0</v>
      </c>
      <c r="M41" s="45" t="str">
        <f t="shared" si="130"/>
        <v>2_output_files/1_save_as/028_argument1.json</v>
      </c>
      <c r="N41" s="47" t="str">
        <f t="shared" ca="1" si="131"/>
        <v>cd /d "E:\Python-gdbnaut\test" &amp;&amp; gdb "E:\Python-gdbnaut\test\1_input_files\1_bebug_builds\028_argument1.exe" -ex "set $symbol_name = \"argc\"" -ex "set $out_path = \"2_output_files/1_save_as/028_argument1.json\"" -x "E:\Python-gdbnaut\test\tester_script_1_for_gdbnaut.py"</v>
      </c>
      <c r="O41" s="45" t="str">
        <f t="shared" si="132"/>
        <v>2_output_files/1_save_as/028_argument1.json</v>
      </c>
      <c r="P41" s="47" t="str">
        <f t="shared" si="133"/>
        <v>2_output_files/2_address_ignored/028_argument1.json</v>
      </c>
      <c r="Q41" s="47" t="str">
        <f t="shared" ca="1" si="134"/>
        <v>cd /d "E:\Python-gdbnaut\test" &amp;&amp; python "E:\Python-gdbnaut\test\tester_script_2_for_gdbnaut_nogdb.py" "argc" "2_output_files/1_save_as/028_argument1.json" "2_output_files/2_address_ignored/028_argument1.json"</v>
      </c>
    </row>
    <row r="42" spans="1:17" x14ac:dyDescent="0.15">
      <c r="A42" s="39">
        <v>29</v>
      </c>
      <c r="B42" s="40" t="s">
        <v>55</v>
      </c>
      <c r="C42" s="49" t="str">
        <f>""</f>
        <v/>
      </c>
      <c r="D42" s="42" t="str">
        <f>'codes templates'!$B$5</f>
        <v>int main(int argc,char *argv[])
{
 int i;
 for (i = 0; i &lt; argc; i++) {
  printf("argv[%d]:\"%s\"\n", i, argv[i]);
 }
 return 0;
}</v>
      </c>
      <c r="E42" s="43" t="s">
        <v>53</v>
      </c>
      <c r="F42" s="44" t="str">
        <f t="shared" si="128"/>
        <v>029_argument2</v>
      </c>
      <c r="G42" s="45" t="str">
        <f t="shared" ca="1" si="0"/>
        <v>E:\Python-gdbnaut\test\1_input_files\0_test_source\029_argument2.c</v>
      </c>
      <c r="H42" s="45" t="str">
        <f>SUBSTITUTE(SUBSTITUTE('codes templates'!$B$2,C$13,C42),D$13,D42)</f>
        <v xml:space="preserve">#include &lt;stdio.h&gt;
int main(int argc,char *argv[])
{
 int i;
 for (i = 0; i &lt; argc; i++) {
  printf("argv[%d]:\"%s\"\n", i, argv[i]);
 }
 return 0;
}
</v>
      </c>
      <c r="I42" s="62" t="b">
        <f>IF($G$7,makeSourceFile(H42,G42),FALSE)</f>
        <v>0</v>
      </c>
      <c r="J42" s="45" t="str">
        <f t="shared" ca="1" si="1"/>
        <v>E:\Python-gdbnaut\test\1_input_files\1_bebug_builds\029_argument2.exe</v>
      </c>
      <c r="K42" s="47" t="str">
        <f t="shared" ca="1" si="129"/>
        <v>gcc "E:\Python-gdbnaut\test\1_input_files\0_test_source\029_argument2.c" -o "E:\Python-gdbnaut\test\1_input_files\1_bebug_builds\029_argument2.exe" -g -O0</v>
      </c>
      <c r="L42" s="48" t="b">
        <f>IF($G$8,doDosCmd(K42),FALSE)</f>
        <v>0</v>
      </c>
      <c r="M42" s="45" t="str">
        <f t="shared" si="130"/>
        <v>2_output_files/1_save_as/029_argument2.json</v>
      </c>
      <c r="N42" s="47" t="str">
        <f t="shared" ca="1" si="131"/>
        <v>cd /d "E:\Python-gdbnaut\test" &amp;&amp; gdb "E:\Python-gdbnaut\test\1_input_files\1_bebug_builds\029_argument2.exe" -ex "set $symbol_name = \"argv\"" -ex "set $out_path = \"2_output_files/1_save_as/029_argument2.json\"" -x "E:\Python-gdbnaut\test\tester_script_1_for_gdbnaut.py"</v>
      </c>
      <c r="O42" s="45" t="str">
        <f t="shared" si="132"/>
        <v>2_output_files/1_save_as/029_argument2.json</v>
      </c>
      <c r="P42" s="47" t="str">
        <f t="shared" si="133"/>
        <v>2_output_files/2_address_ignored/029_argument2.json</v>
      </c>
      <c r="Q42" s="47" t="str">
        <f t="shared" ca="1" si="134"/>
        <v>cd /d "E:\Python-gdbnaut\test" &amp;&amp; python "E:\Python-gdbnaut\test\tester_script_2_for_gdbnaut_nogdb.py" "argv" "2_output_files/1_save_as/029_argument2.json" "2_output_files/2_address_ignored/029_argument2.json"</v>
      </c>
    </row>
    <row r="43" spans="1:17" ht="45" x14ac:dyDescent="0.15">
      <c r="A43" s="39">
        <v>30</v>
      </c>
      <c r="B43" s="40" t="s">
        <v>57</v>
      </c>
      <c r="C43" s="50" t="s">
        <v>56</v>
      </c>
      <c r="D43" s="42" t="str">
        <f>'codes templates'!$B$5</f>
        <v>int main(int argc,char *argv[])
{
 int i;
 for (i = 0; i &lt; argc; i++) {
  printf("argv[%d]:\"%s\"\n", i, argv[i]);
 }
 return 0;
}</v>
      </c>
      <c r="E43" s="43" t="s">
        <v>51</v>
      </c>
      <c r="F43" s="44" t="str">
        <f t="shared" si="128"/>
        <v>030_function_pointer1</v>
      </c>
      <c r="G43" s="45" t="str">
        <f t="shared" ca="1" si="0"/>
        <v>E:\Python-gdbnaut\test\1_input_files\0_test_source\030_function_pointer1.c</v>
      </c>
      <c r="H43" s="45" t="str">
        <f>SUBSTITUTE(SUBSTITUTE('codes templates'!$B$2,C$13,C43),D$13,D43)</f>
        <v xml:space="preserve">#include &lt;stdio.h&gt;
void func_void(void){
    return;
}
void (*funcp)(void) = func_void;
int main(int argc,char *argv[])
{
 int i;
 for (i = 0; i &lt; argc; i++) {
  printf("argv[%d]:\"%s\"\n", i, argv[i]);
 }
 return 0;
}
</v>
      </c>
      <c r="I43" s="62" t="b">
        <f>IF($G$7,makeSourceFile(H43,G43),FALSE)</f>
        <v>0</v>
      </c>
      <c r="J43" s="45" t="str">
        <f t="shared" ca="1" si="1"/>
        <v>E:\Python-gdbnaut\test\1_input_files\1_bebug_builds\030_function_pointer1.exe</v>
      </c>
      <c r="K43" s="47" t="str">
        <f t="shared" ca="1" si="129"/>
        <v>gcc "E:\Python-gdbnaut\test\1_input_files\0_test_source\030_function_pointer1.c" -o "E:\Python-gdbnaut\test\1_input_files\1_bebug_builds\030_function_pointer1.exe" -g -O0</v>
      </c>
      <c r="L43" s="48" t="b">
        <f>IF($G$8,doDosCmd(K43),FALSE)</f>
        <v>0</v>
      </c>
      <c r="M43" s="45" t="str">
        <f t="shared" si="130"/>
        <v>2_output_files/1_save_as/030_function_pointer1.json</v>
      </c>
      <c r="N43" s="47" t="str">
        <f t="shared" ca="1" si="131"/>
        <v>cd /d "E:\Python-gdbnaut\test" &amp;&amp; gdb "E:\Python-gdbnaut\test\1_input_files\1_bebug_builds\030_function_pointer1.exe" -ex "set $symbol_name = \"funcp\"" -ex "set $out_path = \"2_output_files/1_save_as/030_function_pointer1.json\"" -x "E:\Python-gdbnaut\test\tester_script_1_for_gdbnaut.py"</v>
      </c>
      <c r="O43" s="45" t="str">
        <f t="shared" si="132"/>
        <v>2_output_files/1_save_as/030_function_pointer1.json</v>
      </c>
      <c r="P43" s="47" t="str">
        <f t="shared" si="133"/>
        <v>2_output_files/2_address_ignored/030_function_pointer1.json</v>
      </c>
      <c r="Q43" s="47" t="str">
        <f t="shared" ca="1" si="134"/>
        <v>cd /d "E:\Python-gdbnaut\test" &amp;&amp; python "E:\Python-gdbnaut\test\tester_script_2_for_gdbnaut_nogdb.py" "funcp" "2_output_files/1_save_as/030_function_pointer1.json" "2_output_files/2_address_ignored/030_function_pointer1.json"</v>
      </c>
    </row>
    <row r="44" spans="1:17" ht="45" x14ac:dyDescent="0.15">
      <c r="A44" s="39">
        <v>31</v>
      </c>
      <c r="B44" s="40" t="s">
        <v>58</v>
      </c>
      <c r="C44" s="50" t="s">
        <v>61</v>
      </c>
      <c r="D44" s="42" t="str">
        <f>'codes templates'!$B$5</f>
        <v>int main(int argc,char *argv[])
{
 int i;
 for (i = 0; i &lt; argc; i++) {
  printf("argv[%d]:\"%s\"\n", i, argv[i]);
 }
 return 0;
}</v>
      </c>
      <c r="E44" s="43" t="s">
        <v>51</v>
      </c>
      <c r="F44" s="44" t="str">
        <f t="shared" si="128"/>
        <v>031_function_pointer2</v>
      </c>
      <c r="G44" s="45" t="str">
        <f t="shared" ca="1" si="0"/>
        <v>E:\Python-gdbnaut\test\1_input_files\0_test_source\031_function_pointer2.c</v>
      </c>
      <c r="H44" s="45" t="str">
        <f>SUBSTITUTE(SUBSTITUTE('codes templates'!$B$2,C$13,C44),D$13,D44)</f>
        <v xml:space="preserve">#include &lt;stdio.h&gt;
void func_void(void){
    return;
}
void (*funcp)() = func_void;
int main(int argc,char *argv[])
{
 int i;
 for (i = 0; i &lt; argc; i++) {
  printf("argv[%d]:\"%s\"\n", i, argv[i]);
 }
 return 0;
}
</v>
      </c>
      <c r="I44" s="62" t="b">
        <f>IF($G$7,makeSourceFile(H44,G44),FALSE)</f>
        <v>0</v>
      </c>
      <c r="J44" s="45" t="str">
        <f t="shared" ca="1" si="1"/>
        <v>E:\Python-gdbnaut\test\1_input_files\1_bebug_builds\031_function_pointer2.exe</v>
      </c>
      <c r="K44" s="47" t="str">
        <f t="shared" ca="1" si="129"/>
        <v>gcc "E:\Python-gdbnaut\test\1_input_files\0_test_source\031_function_pointer2.c" -o "E:\Python-gdbnaut\test\1_input_files\1_bebug_builds\031_function_pointer2.exe" -g -O0</v>
      </c>
      <c r="L44" s="48" t="b">
        <f>IF($G$8,doDosCmd(K44),FALSE)</f>
        <v>0</v>
      </c>
      <c r="M44" s="45" t="str">
        <f t="shared" si="130"/>
        <v>2_output_files/1_save_as/031_function_pointer2.json</v>
      </c>
      <c r="N44" s="47" t="str">
        <f t="shared" ca="1" si="131"/>
        <v>cd /d "E:\Python-gdbnaut\test" &amp;&amp; gdb "E:\Python-gdbnaut\test\1_input_files\1_bebug_builds\031_function_pointer2.exe" -ex "set $symbol_name = \"funcp\"" -ex "set $out_path = \"2_output_files/1_save_as/031_function_pointer2.json\"" -x "E:\Python-gdbnaut\test\tester_script_1_for_gdbnaut.py"</v>
      </c>
      <c r="O44" s="45" t="str">
        <f t="shared" si="132"/>
        <v>2_output_files/1_save_as/031_function_pointer2.json</v>
      </c>
      <c r="P44" s="47" t="str">
        <f t="shared" si="133"/>
        <v>2_output_files/2_address_ignored/031_function_pointer2.json</v>
      </c>
      <c r="Q44" s="47" t="str">
        <f t="shared" ca="1" si="134"/>
        <v>cd /d "E:\Python-gdbnaut\test" &amp;&amp; python "E:\Python-gdbnaut\test\tester_script_2_for_gdbnaut_nogdb.py" "funcp" "2_output_files/1_save_as/031_function_pointer2.json" "2_output_files/2_address_ignored/031_function_pointer2.json"</v>
      </c>
    </row>
    <row r="45" spans="1:17" ht="45" x14ac:dyDescent="0.15">
      <c r="A45" s="39">
        <v>32</v>
      </c>
      <c r="B45" s="40" t="s">
        <v>59</v>
      </c>
      <c r="C45" s="50" t="s">
        <v>62</v>
      </c>
      <c r="D45" s="42" t="str">
        <f>'codes templates'!$B$5</f>
        <v>int main(int argc,char *argv[])
{
 int i;
 for (i = 0; i &lt; argc; i++) {
  printf("argv[%d]:\"%s\"\n", i, argv[i]);
 }
 return 0;
}</v>
      </c>
      <c r="E45" s="43" t="s">
        <v>51</v>
      </c>
      <c r="F45" s="44" t="str">
        <f t="shared" si="128"/>
        <v>032_function_pointer3</v>
      </c>
      <c r="G45" s="45" t="str">
        <f t="shared" ca="1" si="0"/>
        <v>E:\Python-gdbnaut\test\1_input_files\0_test_source\032_function_pointer3.c</v>
      </c>
      <c r="H45" s="45" t="str">
        <f>SUBSTITUTE(SUBSTITUTE('codes templates'!$B$2,C$13,C45),D$13,D45)</f>
        <v xml:space="preserve">#include &lt;stdio.h&gt;
void func_void(void){
    return;
}
void (*funcp) = func_void;
int main(int argc,char *argv[])
{
 int i;
 for (i = 0; i &lt; argc; i++) {
  printf("argv[%d]:\"%s\"\n", i, argv[i]);
 }
 return 0;
}
</v>
      </c>
      <c r="I45" s="62" t="b">
        <f>IF($G$7,makeSourceFile(H45,G45),FALSE)</f>
        <v>0</v>
      </c>
      <c r="J45" s="45" t="str">
        <f t="shared" ca="1" si="1"/>
        <v>E:\Python-gdbnaut\test\1_input_files\1_bebug_builds\032_function_pointer3.exe</v>
      </c>
      <c r="K45" s="47" t="str">
        <f t="shared" ca="1" si="129"/>
        <v>gcc "E:\Python-gdbnaut\test\1_input_files\0_test_source\032_function_pointer3.c" -o "E:\Python-gdbnaut\test\1_input_files\1_bebug_builds\032_function_pointer3.exe" -g -O0</v>
      </c>
      <c r="L45" s="48" t="b">
        <f>IF($G$8,doDosCmd(K45),FALSE)</f>
        <v>0</v>
      </c>
      <c r="M45" s="45" t="str">
        <f t="shared" si="130"/>
        <v>2_output_files/1_save_as/032_function_pointer3.json</v>
      </c>
      <c r="N45" s="47" t="str">
        <f t="shared" ca="1" si="131"/>
        <v>cd /d "E:\Python-gdbnaut\test" &amp;&amp; gdb "E:\Python-gdbnaut\test\1_input_files\1_bebug_builds\032_function_pointer3.exe" -ex "set $symbol_name = \"funcp\"" -ex "set $out_path = \"2_output_files/1_save_as/032_function_pointer3.json\"" -x "E:\Python-gdbnaut\test\tester_script_1_for_gdbnaut.py"</v>
      </c>
      <c r="O45" s="45" t="str">
        <f t="shared" si="132"/>
        <v>2_output_files/1_save_as/032_function_pointer3.json</v>
      </c>
      <c r="P45" s="47" t="str">
        <f t="shared" si="133"/>
        <v>2_output_files/2_address_ignored/032_function_pointer3.json</v>
      </c>
      <c r="Q45" s="47" t="str">
        <f t="shared" ca="1" si="134"/>
        <v>cd /d "E:\Python-gdbnaut\test" &amp;&amp; python "E:\Python-gdbnaut\test\tester_script_2_for_gdbnaut_nogdb.py" "funcp" "2_output_files/1_save_as/032_function_pointer3.json" "2_output_files/2_address_ignored/032_function_pointer3.json"</v>
      </c>
    </row>
    <row r="46" spans="1:17" ht="45" x14ac:dyDescent="0.15">
      <c r="A46" s="39">
        <v>33</v>
      </c>
      <c r="B46" s="40" t="s">
        <v>60</v>
      </c>
      <c r="C46" s="50" t="s">
        <v>63</v>
      </c>
      <c r="D46" s="42" t="str">
        <f>'codes templates'!$B$5</f>
        <v>int main(int argc,char *argv[])
{
 int i;
 for (i = 0; i &lt; argc; i++) {
  printf("argv[%d]:\"%s\"\n", i, argv[i]);
 }
 return 0;
}</v>
      </c>
      <c r="E46" s="43" t="s">
        <v>51</v>
      </c>
      <c r="F46" s="44" t="str">
        <f t="shared" si="128"/>
        <v>033_function_pointer4</v>
      </c>
      <c r="G46" s="45" t="str">
        <f t="shared" ca="1" si="0"/>
        <v>E:\Python-gdbnaut\test\1_input_files\0_test_source\033_function_pointer4.c</v>
      </c>
      <c r="H46" s="45" t="str">
        <f>SUBSTITUTE(SUBSTITUTE('codes templates'!$B$2,C$13,C46),D$13,D46)</f>
        <v xml:space="preserve">#include &lt;stdio.h&gt;
void func_void(void){
    return;
}
void *funcp = func_void;
int main(int argc,char *argv[])
{
 int i;
 for (i = 0; i &lt; argc; i++) {
  printf("argv[%d]:\"%s\"\n", i, argv[i]);
 }
 return 0;
}
</v>
      </c>
      <c r="I46" s="62" t="b">
        <f>IF($G$7,makeSourceFile(H46,G46),FALSE)</f>
        <v>0</v>
      </c>
      <c r="J46" s="45" t="str">
        <f t="shared" ca="1" si="1"/>
        <v>E:\Python-gdbnaut\test\1_input_files\1_bebug_builds\033_function_pointer4.exe</v>
      </c>
      <c r="K46" s="47" t="str">
        <f t="shared" ca="1" si="129"/>
        <v>gcc "E:\Python-gdbnaut\test\1_input_files\0_test_source\033_function_pointer4.c" -o "E:\Python-gdbnaut\test\1_input_files\1_bebug_builds\033_function_pointer4.exe" -g -O0</v>
      </c>
      <c r="L46" s="48" t="b">
        <f>IF($G$8,doDosCmd(K46),FALSE)</f>
        <v>0</v>
      </c>
      <c r="M46" s="45" t="str">
        <f t="shared" si="130"/>
        <v>2_output_files/1_save_as/033_function_pointer4.json</v>
      </c>
      <c r="N46" s="47" t="str">
        <f t="shared" ca="1" si="131"/>
        <v>cd /d "E:\Python-gdbnaut\test" &amp;&amp; gdb "E:\Python-gdbnaut\test\1_input_files\1_bebug_builds\033_function_pointer4.exe" -ex "set $symbol_name = \"funcp\"" -ex "set $out_path = \"2_output_files/1_save_as/033_function_pointer4.json\"" -x "E:\Python-gdbnaut\test\tester_script_1_for_gdbnaut.py"</v>
      </c>
      <c r="O46" s="45" t="str">
        <f t="shared" si="132"/>
        <v>2_output_files/1_save_as/033_function_pointer4.json</v>
      </c>
      <c r="P46" s="47" t="str">
        <f t="shared" si="133"/>
        <v>2_output_files/2_address_ignored/033_function_pointer4.json</v>
      </c>
      <c r="Q46" s="47" t="str">
        <f t="shared" ca="1" si="134"/>
        <v>cd /d "E:\Python-gdbnaut\test" &amp;&amp; python "E:\Python-gdbnaut\test\tester_script_2_for_gdbnaut_nogdb.py" "funcp" "2_output_files/1_save_as/033_function_pointer4.json" "2_output_files/2_address_ignored/033_function_pointer4.json"</v>
      </c>
    </row>
    <row r="47" spans="1:17" ht="45" x14ac:dyDescent="0.15">
      <c r="A47" s="39">
        <v>34</v>
      </c>
      <c r="B47" s="40" t="s">
        <v>65</v>
      </c>
      <c r="C47" s="50" t="s">
        <v>64</v>
      </c>
      <c r="D47" s="42" t="str">
        <f>'codes templates'!$B$5</f>
        <v>int main(int argc,char *argv[])
{
 int i;
 for (i = 0; i &lt; argc; i++) {
  printf("argv[%d]:\"%s\"\n", i, argv[i]);
 }
 return 0;
}</v>
      </c>
      <c r="E47" s="43" t="s">
        <v>51</v>
      </c>
      <c r="F47" s="44" t="str">
        <f t="shared" si="128"/>
        <v>034_function_pointer5</v>
      </c>
      <c r="G47" s="45" t="str">
        <f t="shared" ca="1" si="0"/>
        <v>E:\Python-gdbnaut\test\1_input_files\0_test_source\034_function_pointer5.c</v>
      </c>
      <c r="H47" s="45" t="str">
        <f>SUBSTITUTE(SUBSTITUTE('codes templates'!$B$2,C$13,C47),D$13,D47)</f>
        <v xml:space="preserve">#include &lt;stdio.h&gt;
int addition(int x, char y) {
    return (x + y);
}
int (*funcp)(int, char) = addition;
int main(int argc,char *argv[])
{
 int i;
 for (i = 0; i &lt; argc; i++) {
  printf("argv[%d]:\"%s\"\n", i, argv[i]);
 }
 return 0;
}
</v>
      </c>
      <c r="I47" s="62" t="b">
        <f>IF($G$7,makeSourceFile(H47,G47),FALSE)</f>
        <v>0</v>
      </c>
      <c r="J47" s="45" t="str">
        <f t="shared" ca="1" si="1"/>
        <v>E:\Python-gdbnaut\test\1_input_files\1_bebug_builds\034_function_pointer5.exe</v>
      </c>
      <c r="K47" s="47" t="str">
        <f t="shared" ca="1" si="129"/>
        <v>gcc "E:\Python-gdbnaut\test\1_input_files\0_test_source\034_function_pointer5.c" -o "E:\Python-gdbnaut\test\1_input_files\1_bebug_builds\034_function_pointer5.exe" -g -O0</v>
      </c>
      <c r="L47" s="48" t="b">
        <f>IF($G$8,doDosCmd(K47),FALSE)</f>
        <v>0</v>
      </c>
      <c r="M47" s="45" t="str">
        <f t="shared" si="130"/>
        <v>2_output_files/1_save_as/034_function_pointer5.json</v>
      </c>
      <c r="N47" s="47" t="str">
        <f t="shared" ca="1" si="131"/>
        <v>cd /d "E:\Python-gdbnaut\test" &amp;&amp; gdb "E:\Python-gdbnaut\test\1_input_files\1_bebug_builds\034_function_pointer5.exe" -ex "set $symbol_name = \"funcp\"" -ex "set $out_path = \"2_output_files/1_save_as/034_function_pointer5.json\"" -x "E:\Python-gdbnaut\test\tester_script_1_for_gdbnaut.py"</v>
      </c>
      <c r="O47" s="45" t="str">
        <f t="shared" si="132"/>
        <v>2_output_files/1_save_as/034_function_pointer5.json</v>
      </c>
      <c r="P47" s="47" t="str">
        <f t="shared" si="133"/>
        <v>2_output_files/2_address_ignored/034_function_pointer5.json</v>
      </c>
      <c r="Q47" s="47" t="str">
        <f t="shared" ca="1" si="134"/>
        <v>cd /d "E:\Python-gdbnaut\test" &amp;&amp; python "E:\Python-gdbnaut\test\tester_script_2_for_gdbnaut_nogdb.py" "funcp" "2_output_files/1_save_as/034_function_pointer5.json" "2_output_files/2_address_ignored/034_function_pointer5.json"</v>
      </c>
    </row>
    <row r="48" spans="1:17" x14ac:dyDescent="0.15">
      <c r="A48" s="39"/>
      <c r="B48" s="40"/>
      <c r="C48" s="50"/>
      <c r="D48" s="42"/>
      <c r="E48" s="43"/>
      <c r="F48" s="44"/>
      <c r="G48" s="45"/>
      <c r="H48" s="45"/>
      <c r="I48" s="46"/>
      <c r="J48" s="45"/>
      <c r="K48" s="47"/>
      <c r="L48" s="48"/>
      <c r="M48" s="45"/>
      <c r="N48" s="47"/>
      <c r="O48" s="45"/>
      <c r="P48" s="47"/>
      <c r="Q48" s="47"/>
    </row>
    <row r="49" spans="1:17" x14ac:dyDescent="0.15">
      <c r="A49" s="39"/>
      <c r="B49" s="40"/>
      <c r="C49" s="49"/>
      <c r="D49" s="42"/>
      <c r="E49" s="43"/>
      <c r="F49" s="44"/>
      <c r="G49" s="45"/>
      <c r="H49" s="45"/>
      <c r="I49" s="46"/>
      <c r="J49" s="45"/>
      <c r="K49" s="47"/>
      <c r="L49" s="48"/>
      <c r="M49" s="45"/>
      <c r="N49" s="47"/>
      <c r="O49" s="45"/>
      <c r="P49" s="47"/>
      <c r="Q49" s="47"/>
    </row>
    <row r="50" spans="1:17" x14ac:dyDescent="0.15">
      <c r="A50" s="39"/>
      <c r="B50" s="40"/>
      <c r="C50" s="49"/>
      <c r="D50" s="42"/>
      <c r="E50" s="43"/>
      <c r="F50" s="44"/>
      <c r="G50" s="45"/>
      <c r="H50" s="45"/>
      <c r="I50" s="46"/>
      <c r="J50" s="45"/>
      <c r="K50" s="47"/>
      <c r="L50" s="48"/>
      <c r="M50" s="45"/>
      <c r="N50" s="47"/>
      <c r="O50" s="45"/>
      <c r="P50" s="47"/>
      <c r="Q50" s="47"/>
    </row>
    <row r="51" spans="1:17" x14ac:dyDescent="0.15">
      <c r="A51" s="39"/>
      <c r="B51" s="40"/>
      <c r="C51" s="49"/>
      <c r="D51" s="42"/>
      <c r="E51" s="43"/>
      <c r="F51" s="44"/>
      <c r="G51" s="45"/>
      <c r="H51" s="45"/>
      <c r="I51" s="46"/>
      <c r="J51" s="45"/>
      <c r="K51" s="47"/>
      <c r="L51" s="48"/>
      <c r="M51" s="45"/>
      <c r="N51" s="47"/>
      <c r="O51" s="45"/>
      <c r="P51" s="47"/>
      <c r="Q51" s="47"/>
    </row>
    <row r="52" spans="1:17" x14ac:dyDescent="0.15">
      <c r="A52" s="39"/>
      <c r="B52" s="40"/>
      <c r="C52" s="49"/>
      <c r="D52" s="42"/>
      <c r="E52" s="43"/>
      <c r="F52" s="44"/>
      <c r="G52" s="45"/>
      <c r="H52" s="45"/>
      <c r="I52" s="46"/>
      <c r="J52" s="45"/>
      <c r="K52" s="47"/>
      <c r="L52" s="48"/>
      <c r="M52" s="45"/>
      <c r="N52" s="47"/>
      <c r="O52" s="45"/>
      <c r="P52" s="47"/>
      <c r="Q52" s="47"/>
    </row>
    <row r="53" spans="1:17" x14ac:dyDescent="0.15">
      <c r="A53" s="39"/>
      <c r="B53" s="40"/>
      <c r="C53" s="49"/>
      <c r="D53" s="42"/>
      <c r="E53" s="43"/>
      <c r="F53" s="44"/>
      <c r="G53" s="45"/>
      <c r="H53" s="45"/>
      <c r="I53" s="46"/>
      <c r="J53" s="45"/>
      <c r="K53" s="47"/>
      <c r="L53" s="48"/>
      <c r="M53" s="45"/>
      <c r="N53" s="47"/>
      <c r="O53" s="45"/>
      <c r="P53" s="47"/>
      <c r="Q53" s="47"/>
    </row>
    <row r="54" spans="1:17" x14ac:dyDescent="0.15">
      <c r="A54" s="51"/>
      <c r="B54" s="52"/>
      <c r="C54" s="53"/>
      <c r="D54" s="54"/>
      <c r="E54" s="55"/>
      <c r="F54" s="56"/>
      <c r="G54" s="57"/>
      <c r="H54" s="57"/>
      <c r="I54" s="58"/>
      <c r="J54" s="57"/>
      <c r="K54" s="59"/>
      <c r="L54" s="60"/>
      <c r="M54" s="57"/>
      <c r="N54" s="59"/>
      <c r="O54" s="57"/>
      <c r="P54" s="59"/>
      <c r="Q54" s="59"/>
    </row>
  </sheetData>
  <mergeCells count="8">
    <mergeCell ref="E5:G5"/>
    <mergeCell ref="O12:Q12"/>
    <mergeCell ref="G12:I12"/>
    <mergeCell ref="J12:L12"/>
    <mergeCell ref="C12:D12"/>
    <mergeCell ref="M12:N12"/>
    <mergeCell ref="N1:N11"/>
    <mergeCell ref="Q1:Q1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0" t="s">
        <v>26</v>
      </c>
    </row>
    <row r="2" spans="1:2" ht="67.5" x14ac:dyDescent="0.15">
      <c r="B2" s="1" t="s">
        <v>44</v>
      </c>
    </row>
    <row r="4" spans="1:2" x14ac:dyDescent="0.15">
      <c r="A4" s="20" t="s">
        <v>25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2019-10-11T15:11:10Z</dcterms:modified>
</cp:coreProperties>
</file>