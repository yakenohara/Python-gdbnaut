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083195CD-8035-4FD5-BD0B-C3C2298CC7B7}" xr6:coauthVersionLast="45" xr6:coauthVersionMax="45" xr10:uidLastSave="{00000000-0000-0000-0000-000000000000}"/>
  <bookViews>
    <workbookView xWindow="-120" yWindow="330" windowWidth="29040" windowHeight="15990" xr2:uid="{114C4671-5AE1-4CA5-B4FB-AAD3A0EDE543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5" i="1" l="1"/>
  <c r="D15" i="1"/>
  <c r="G15" i="1" s="1"/>
  <c r="E14" i="1"/>
  <c r="D14" i="1"/>
  <c r="G14" i="1" s="1"/>
  <c r="E13" i="1"/>
  <c r="D13" i="1"/>
  <c r="G13" i="1" s="1"/>
  <c r="E12" i="1"/>
  <c r="D12" i="1"/>
  <c r="G12" i="1" s="1"/>
  <c r="E11" i="1"/>
  <c r="D11" i="1"/>
  <c r="G11" i="1" s="1"/>
  <c r="G10" i="1" l="1"/>
  <c r="E10" i="1" l="1"/>
  <c r="D10" i="1" l="1"/>
  <c r="C1" i="1"/>
  <c r="F15" i="1" l="1"/>
  <c r="F14" i="1"/>
  <c r="F13" i="1"/>
  <c r="F12" i="1"/>
  <c r="F11" i="1"/>
  <c r="I14" i="1"/>
  <c r="I11" i="1"/>
  <c r="I15" i="1"/>
  <c r="I13" i="1"/>
  <c r="I12" i="1"/>
  <c r="I10" i="1"/>
  <c r="F10" i="1"/>
  <c r="E4" i="1"/>
  <c r="E3" i="1"/>
  <c r="H12" i="1"/>
  <c r="H15" i="1"/>
  <c r="H11" i="1"/>
  <c r="H14" i="1"/>
  <c r="H13" i="1"/>
  <c r="H1" i="1"/>
  <c r="H10" i="1"/>
  <c r="J13" i="1" l="1"/>
  <c r="J10" i="1"/>
  <c r="J12" i="1"/>
  <c r="J14" i="1"/>
  <c r="J11" i="1"/>
  <c r="J15" i="1"/>
  <c r="K13" i="1"/>
  <c r="K11" i="1"/>
  <c r="K10" i="1"/>
  <c r="K15" i="1"/>
  <c r="K12" i="1"/>
  <c r="K14" i="1"/>
</calcChain>
</file>

<file path=xl/sharedStrings.xml><?xml version="1.0" encoding="utf-8"?>
<sst xmlns="http://schemas.openxmlformats.org/spreadsheetml/2006/main" count="35" uniqueCount="33">
  <si>
    <t>{{ global_def }}</t>
    <phoneticPr fontId="1"/>
  </si>
  <si>
    <t>int main(int argc,char *argv[])
{
 int i;
 for (i = 0; i &lt; argc; i++) {
  printf("argv[%d]:\"%s\"\n", i, argv[i]);
 }
 return 0;
}</t>
    <phoneticPr fontId="1"/>
  </si>
  <si>
    <t xml:space="preserve">{{ global_def }}
{{ main_func }}
</t>
    <phoneticPr fontId="1"/>
  </si>
  <si>
    <t>{{ main_func }}</t>
    <phoneticPr fontId="1"/>
  </si>
  <si>
    <t>No</t>
    <phoneticPr fontId="1"/>
  </si>
  <si>
    <t>global char</t>
    <phoneticPr fontId="1"/>
  </si>
  <si>
    <t>path</t>
    <phoneticPr fontId="1"/>
  </si>
  <si>
    <t>no ext file name</t>
    <phoneticPr fontId="1"/>
  </si>
  <si>
    <t>input_files\0_test_source\{{ no_ext_file_name }}</t>
    <phoneticPr fontId="1"/>
  </si>
  <si>
    <t>input_files\1_bebug_builds\{{ no_ext_file_name }}</t>
    <phoneticPr fontId="1"/>
  </si>
  <si>
    <t>{{ no_ext_file_name }}</t>
    <phoneticPr fontId="1"/>
  </si>
  <si>
    <t>make dir</t>
    <phoneticPr fontId="1"/>
  </si>
  <si>
    <t>Directories</t>
    <phoneticPr fontId="1"/>
  </si>
  <si>
    <t>Thisworkbook's path</t>
    <phoneticPr fontId="1"/>
  </si>
  <si>
    <t>make source file</t>
    <phoneticPr fontId="1"/>
  </si>
  <si>
    <t>gcc cmd</t>
    <phoneticPr fontId="1"/>
  </si>
  <si>
    <t>template</t>
    <phoneticPr fontId="1"/>
  </si>
  <si>
    <t>source code</t>
    <phoneticPr fontId="1"/>
  </si>
  <si>
    <t>source binary</t>
    <phoneticPr fontId="1"/>
  </si>
  <si>
    <t>souce code</t>
    <phoneticPr fontId="1"/>
  </si>
  <si>
    <t>make source bin</t>
    <phoneticPr fontId="1"/>
  </si>
  <si>
    <t>make bin</t>
    <phoneticPr fontId="1"/>
  </si>
  <si>
    <t>global short</t>
    <phoneticPr fontId="1"/>
  </si>
  <si>
    <t>global int</t>
    <phoneticPr fontId="1"/>
  </si>
  <si>
    <t>global long</t>
    <phoneticPr fontId="1"/>
  </si>
  <si>
    <t>global float</t>
    <phoneticPr fontId="1"/>
  </si>
  <si>
    <t>global double</t>
    <phoneticPr fontId="1"/>
  </si>
  <si>
    <t>volatile char c = 'a';</t>
    <phoneticPr fontId="1"/>
  </si>
  <si>
    <t>volatile short s = (-129);</t>
    <phoneticPr fontId="1"/>
  </si>
  <si>
    <t>volatile int i = (-32769);</t>
    <phoneticPr fontId="1"/>
  </si>
  <si>
    <t>volatile int l = (-32769);</t>
    <phoneticPr fontId="1"/>
  </si>
  <si>
    <t>volatile float f = (16777216);</t>
    <phoneticPr fontId="1"/>
  </si>
  <si>
    <t>volatile float f = (16777217);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</si>
</sst>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yyyy/mm/dd\ hh:mm:ss"/>
  </numFmts>
  <fonts count="2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>
      <alignment vertical="center"/>
    </xf>
    <xf numFmtId="0" fontId="0" fillId="2" borderId="0" xfId="0" applyFill="1" applyAlignment="1">
      <alignment vertical="center" wrapText="1"/>
    </xf>
    <xf numFmtId="177" fontId="0" fillId="3" borderId="0" xfId="0" applyNumberFormat="1" applyFill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4" xfId="0" applyFill="1" applyBorder="1">
      <alignment vertical="center"/>
    </xf>
    <xf numFmtId="0" fontId="0" fillId="2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K15"/>
  <sheetViews>
    <sheetView tabSelected="1" topLeftCell="D1" workbookViewId="0">
      <selection activeCell="I10" sqref="I10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48.83203125" bestFit="1" customWidth="1"/>
    <col min="5" max="5" width="47.5" customWidth="1"/>
    <col min="6" max="8" width="9.33203125" customWidth="1"/>
  </cols>
  <sheetData>
    <row r="1" spans="1:11" x14ac:dyDescent="0.15">
      <c r="B1" t="s">
        <v>13</v>
      </c>
      <c r="C1" t="str">
        <f ca="1">IF(ISERROR(CELL("filename")),,getThisWorkbooksPath())</f>
        <v>D:\Python-gdbnaut\test</v>
      </c>
      <c r="F1" t="s">
        <v>11</v>
      </c>
      <c r="G1" t="b">
        <v>0</v>
      </c>
      <c r="H1" s="13" t="b">
        <f>IF($G$1,makeDirs(E3:E4),FALSE)</f>
        <v>0</v>
      </c>
    </row>
    <row r="2" spans="1:11" x14ac:dyDescent="0.15">
      <c r="B2">
        <v>1</v>
      </c>
      <c r="C2" t="s">
        <v>8</v>
      </c>
      <c r="D2" t="s">
        <v>10</v>
      </c>
      <c r="E2" t="s">
        <v>12</v>
      </c>
      <c r="F2" t="s">
        <v>14</v>
      </c>
      <c r="G2" t="b">
        <v>0</v>
      </c>
    </row>
    <row r="3" spans="1:11" x14ac:dyDescent="0.15">
      <c r="B3">
        <v>2</v>
      </c>
      <c r="C3" t="s">
        <v>9</v>
      </c>
      <c r="E3" t="str">
        <f ca="1">SUBSTITUTE($C$1&amp;"\"&amp;$C$2,$D$2,"")</f>
        <v>D:\Python-gdbnaut\test\input_files\0_test_source\</v>
      </c>
      <c r="F3" t="s">
        <v>20</v>
      </c>
      <c r="G3" t="b">
        <v>0</v>
      </c>
    </row>
    <row r="4" spans="1:11" x14ac:dyDescent="0.15">
      <c r="E4" t="str">
        <f ca="1">SUBSTITUTE($C$1&amp;"\"&amp;$C$3,$D$2,"")</f>
        <v>D:\Python-gdbnaut\test\input_files\1_bebug_builds\</v>
      </c>
    </row>
    <row r="7" spans="1:11" ht="101.25" x14ac:dyDescent="0.15">
      <c r="D7" s="1" t="s">
        <v>1</v>
      </c>
      <c r="E7" s="1"/>
      <c r="F7" s="3" t="s">
        <v>17</v>
      </c>
      <c r="G7" s="9"/>
      <c r="H7" s="4"/>
      <c r="I7" s="8" t="s">
        <v>18</v>
      </c>
      <c r="J7" s="9"/>
      <c r="K7" s="4"/>
    </row>
    <row r="8" spans="1:11" ht="90" x14ac:dyDescent="0.15">
      <c r="C8" s="1"/>
      <c r="F8" s="5" t="s">
        <v>16</v>
      </c>
      <c r="G8" s="10" t="s">
        <v>2</v>
      </c>
      <c r="H8" s="6"/>
      <c r="I8" s="5"/>
      <c r="J8" s="11"/>
      <c r="K8" s="7"/>
    </row>
    <row r="9" spans="1:11" x14ac:dyDescent="0.15">
      <c r="A9" t="s">
        <v>4</v>
      </c>
      <c r="C9" t="s">
        <v>0</v>
      </c>
      <c r="D9" t="s">
        <v>3</v>
      </c>
      <c r="E9" t="s">
        <v>7</v>
      </c>
      <c r="F9" s="5" t="s">
        <v>6</v>
      </c>
      <c r="G9" s="11" t="s">
        <v>19</v>
      </c>
      <c r="H9" s="7" t="s">
        <v>14</v>
      </c>
      <c r="I9" s="5" t="s">
        <v>6</v>
      </c>
      <c r="J9" s="11" t="s">
        <v>15</v>
      </c>
      <c r="K9" s="7" t="s">
        <v>21</v>
      </c>
    </row>
    <row r="10" spans="1:11" x14ac:dyDescent="0.15">
      <c r="A10">
        <v>1</v>
      </c>
      <c r="B10" t="s">
        <v>5</v>
      </c>
      <c r="C10" s="1" t="s">
        <v>27</v>
      </c>
      <c r="D10" s="2" t="str">
        <f>$D$7</f>
        <v>int main(int argc,char *argv[])
{
 int i;
 for (i = 0; i &lt; argc; i++) {
  printf("argv[%d]:\"%s\"\n", i, argv[i]);
 }
 return 0;
}</v>
      </c>
      <c r="E10" s="12" t="str">
        <f>TEXT(A10,"000")&amp;"_"&amp;SUBSTITUTE(B10," ","_")</f>
        <v>001_global_char</v>
      </c>
      <c r="F10" s="14" t="str">
        <f ca="1">$C$1&amp;"\"&amp;
 SUBSTITUTE(
   $C$2,
   $D$2,
   $E10&amp;".c"
 )</f>
        <v>D:\Python-gdbnaut\test\input_files\0_test_source\001_global_char.c</v>
      </c>
      <c r="G10" s="15" t="str">
        <f>SUBSTITUTE(SUBSTITUTE($G$8,C$9,C10),D$9,D10)</f>
        <v xml:space="preserve">volatile char c = 'a';
int main(int argc,char *argv[])
{
 int i;
 for (i = 0; i &lt; argc; i++) {
  printf("argv[%d]:\"%s\"\n", i, argv[i]);
 }
 return 0;
}
</v>
      </c>
      <c r="H10" s="16" t="b">
        <f>IF($G$2,makeSourceFile(G10,F10),FALSE)</f>
        <v>0</v>
      </c>
      <c r="I10" s="14" t="str">
        <f ca="1">$C$1&amp;"\"&amp;
 SUBSTITUTE(
   $C$3,
   $D$2,
   $E10&amp;".exe"
 )</f>
        <v>D:\Python-gdbnaut\test\input_files\1_bebug_builds\001_global_char.exe</v>
      </c>
      <c r="J10" s="17" t="str">
        <f ca="1">"gcc"&amp;" "&amp;""""&amp;F10&amp;""""&amp;" -o "&amp;""""&amp;I10&amp;""""&amp;" -g -O0"</f>
        <v>gcc "D:\Python-gdbnaut\test\input_files\0_test_source\001_global_char.c" -o "D:\Python-gdbnaut\test\input_files\1_bebug_builds\001_global_char.exe" -g -O0</v>
      </c>
      <c r="K10" s="16" t="b">
        <f>IF($G$3,doDosCmd(J10),FALSE)</f>
        <v>0</v>
      </c>
    </row>
    <row r="11" spans="1:11" x14ac:dyDescent="0.15">
      <c r="A11">
        <v>2</v>
      </c>
      <c r="B11" t="s">
        <v>22</v>
      </c>
      <c r="C11" s="1" t="s">
        <v>28</v>
      </c>
      <c r="D11" s="2" t="str">
        <f t="shared" ref="D11:D15" si="0">$D$7</f>
        <v>int main(int argc,char *argv[])
{
 int i;
 for (i = 0; i &lt; argc; i++) {
  printf("argv[%d]:\"%s\"\n", i, argv[i]);
 }
 return 0;
}</v>
      </c>
      <c r="E11" s="12" t="str">
        <f t="shared" ref="E11:E15" si="1">TEXT(A11,"000")&amp;"_"&amp;SUBSTITUTE(B11," ","_")</f>
        <v>002_global_short</v>
      </c>
      <c r="F11" s="14" t="str">
        <f t="shared" ref="F11:F15" ca="1" si="2">$C$1&amp;"\"&amp;
 SUBSTITUTE(
   $C$2,
   $D$2,
   $E11&amp;".c"
 )</f>
        <v>D:\Python-gdbnaut\test\input_files\0_test_source\002_global_short.c</v>
      </c>
      <c r="G11" s="15" t="str">
        <f t="shared" ref="G11:G15" si="3">SUBSTITUTE(SUBSTITUTE($G$8,C$9,C11),D$9,D11)</f>
        <v xml:space="preserve">volatile short s = (-129);
int main(int argc,char *argv[])
{
 int i;
 for (i = 0; i &lt; argc; i++) {
  printf("argv[%d]:\"%s\"\n", i, argv[i]);
 }
 return 0;
}
</v>
      </c>
      <c r="H11" s="16" t="b">
        <f t="shared" ref="H11:H15" si="4">IF($G$2,makeSourceFile(G11,F11),FALSE)</f>
        <v>0</v>
      </c>
      <c r="I11" s="14" t="str">
        <f t="shared" ref="I11:I15" ca="1" si="5">$C$1&amp;"\"&amp;
 SUBSTITUTE(
   $C$3,
   $D$2,
   $E11&amp;".exe"
 )</f>
        <v>D:\Python-gdbnaut\test\input_files\1_bebug_builds\002_global_short.exe</v>
      </c>
      <c r="J11" s="17" t="str">
        <f t="shared" ref="J11:J15" ca="1" si="6">"gcc"&amp;" "&amp;""""&amp;F11&amp;""""&amp;" -o "&amp;""""&amp;I11&amp;""""&amp;" -g -O0"</f>
        <v>gcc "D:\Python-gdbnaut\test\input_files\0_test_source\002_global_short.c" -o "D:\Python-gdbnaut\test\input_files\1_bebug_builds\002_global_short.exe" -g -O0</v>
      </c>
      <c r="K11" s="16" t="b">
        <f>IF($G$3,doDosCmd(J11),FALSE)</f>
        <v>0</v>
      </c>
    </row>
    <row r="12" spans="1:11" x14ac:dyDescent="0.15">
      <c r="A12">
        <v>3</v>
      </c>
      <c r="B12" t="s">
        <v>23</v>
      </c>
      <c r="C12" s="1" t="s">
        <v>29</v>
      </c>
      <c r="D12" s="2" t="str">
        <f t="shared" si="0"/>
        <v>int main(int argc,char *argv[])
{
 int i;
 for (i = 0; i &lt; argc; i++) {
  printf("argv[%d]:\"%s\"\n", i, argv[i]);
 }
 return 0;
}</v>
      </c>
      <c r="E12" s="12" t="str">
        <f t="shared" si="1"/>
        <v>003_global_int</v>
      </c>
      <c r="F12" s="14" t="str">
        <f t="shared" ca="1" si="2"/>
        <v>D:\Python-gdbnaut\test\input_files\0_test_source\003_global_int.c</v>
      </c>
      <c r="G12" s="15" t="str">
        <f t="shared" si="3"/>
        <v xml:space="preserve">volatile int i = (-32769);
int main(int argc,char *argv[])
{
 int i;
 for (i = 0; i &lt; argc; i++) {
  printf("argv[%d]:\"%s\"\n", i, argv[i]);
 }
 return 0;
}
</v>
      </c>
      <c r="H12" s="16" t="b">
        <f t="shared" si="4"/>
        <v>0</v>
      </c>
      <c r="I12" s="14" t="str">
        <f t="shared" ca="1" si="5"/>
        <v>D:\Python-gdbnaut\test\input_files\1_bebug_builds\003_global_int.exe</v>
      </c>
      <c r="J12" s="17" t="str">
        <f t="shared" ca="1" si="6"/>
        <v>gcc "D:\Python-gdbnaut\test\input_files\0_test_source\003_global_int.c" -o "D:\Python-gdbnaut\test\input_files\1_bebug_builds\003_global_int.exe" -g -O0</v>
      </c>
      <c r="K12" s="16" t="b">
        <f>IF($G$3,doDosCmd(J12),FALSE)</f>
        <v>0</v>
      </c>
    </row>
    <row r="13" spans="1:11" x14ac:dyDescent="0.15">
      <c r="A13">
        <v>4</v>
      </c>
      <c r="B13" t="s">
        <v>24</v>
      </c>
      <c r="C13" s="1" t="s">
        <v>30</v>
      </c>
      <c r="D13" s="2" t="str">
        <f t="shared" si="0"/>
        <v>int main(int argc,char *argv[])
{
 int i;
 for (i = 0; i &lt; argc; i++) {
  printf("argv[%d]:\"%s\"\n", i, argv[i]);
 }
 return 0;
}</v>
      </c>
      <c r="E13" s="12" t="str">
        <f t="shared" si="1"/>
        <v>004_global_long</v>
      </c>
      <c r="F13" s="14" t="str">
        <f t="shared" ca="1" si="2"/>
        <v>D:\Python-gdbnaut\test\input_files\0_test_source\004_global_long.c</v>
      </c>
      <c r="G13" s="15" t="str">
        <f t="shared" si="3"/>
        <v xml:space="preserve">volatile int l = (-32769);
int main(int argc,char *argv[])
{
 int i;
 for (i = 0; i &lt; argc; i++) {
  printf("argv[%d]:\"%s\"\n", i, argv[i]);
 }
 return 0;
}
</v>
      </c>
      <c r="H13" s="16" t="b">
        <f t="shared" si="4"/>
        <v>0</v>
      </c>
      <c r="I13" s="14" t="str">
        <f t="shared" ca="1" si="5"/>
        <v>D:\Python-gdbnaut\test\input_files\1_bebug_builds\004_global_long.exe</v>
      </c>
      <c r="J13" s="17" t="str">
        <f t="shared" ca="1" si="6"/>
        <v>gcc "D:\Python-gdbnaut\test\input_files\0_test_source\004_global_long.c" -o "D:\Python-gdbnaut\test\input_files\1_bebug_builds\004_global_long.exe" -g -O0</v>
      </c>
      <c r="K13" s="16" t="b">
        <f>IF($G$3,doDosCmd(J13),FALSE)</f>
        <v>0</v>
      </c>
    </row>
    <row r="14" spans="1:11" x14ac:dyDescent="0.15">
      <c r="A14">
        <v>5</v>
      </c>
      <c r="B14" t="s">
        <v>25</v>
      </c>
      <c r="C14" t="s">
        <v>31</v>
      </c>
      <c r="D14" s="2" t="str">
        <f t="shared" si="0"/>
        <v>int main(int argc,char *argv[])
{
 int i;
 for (i = 0; i &lt; argc; i++) {
  printf("argv[%d]:\"%s\"\n", i, argv[i]);
 }
 return 0;
}</v>
      </c>
      <c r="E14" s="12" t="str">
        <f t="shared" si="1"/>
        <v>005_global_float</v>
      </c>
      <c r="F14" s="14" t="str">
        <f t="shared" ca="1" si="2"/>
        <v>D:\Python-gdbnaut\test\input_files\0_test_source\005_global_float.c</v>
      </c>
      <c r="G14" s="15" t="str">
        <f t="shared" si="3"/>
        <v xml:space="preserve">volatile float f = (16777216);
int main(int argc,char *argv[])
{
 int i;
 for (i = 0; i &lt; argc; i++) {
  printf("argv[%d]:\"%s\"\n", i, argv[i]);
 }
 return 0;
}
</v>
      </c>
      <c r="H14" s="16" t="b">
        <f t="shared" si="4"/>
        <v>0</v>
      </c>
      <c r="I14" s="14" t="str">
        <f t="shared" ca="1" si="5"/>
        <v>D:\Python-gdbnaut\test\input_files\1_bebug_builds\005_global_float.exe</v>
      </c>
      <c r="J14" s="17" t="str">
        <f t="shared" ca="1" si="6"/>
        <v>gcc "D:\Python-gdbnaut\test\input_files\0_test_source\005_global_float.c" -o "D:\Python-gdbnaut\test\input_files\1_bebug_builds\005_global_float.exe" -g -O0</v>
      </c>
      <c r="K14" s="16" t="b">
        <f>IF($G$3,doDosCmd(J14),FALSE)</f>
        <v>0</v>
      </c>
    </row>
    <row r="15" spans="1:11" x14ac:dyDescent="0.15">
      <c r="A15">
        <v>6</v>
      </c>
      <c r="B15" t="s">
        <v>26</v>
      </c>
      <c r="C15" t="s">
        <v>32</v>
      </c>
      <c r="D15" s="2" t="str">
        <f t="shared" si="0"/>
        <v>int main(int argc,char *argv[])
{
 int i;
 for (i = 0; i &lt; argc; i++) {
  printf("argv[%d]:\"%s\"\n", i, argv[i]);
 }
 return 0;
}</v>
      </c>
      <c r="E15" s="12" t="str">
        <f t="shared" si="1"/>
        <v>006_global_double</v>
      </c>
      <c r="F15" s="14" t="str">
        <f t="shared" ca="1" si="2"/>
        <v>D:\Python-gdbnaut\test\input_files\0_test_source\006_global_double.c</v>
      </c>
      <c r="G15" s="15" t="str">
        <f t="shared" si="3"/>
        <v xml:space="preserve">volatile float f = (16777217);
int main(int argc,char *argv[])
{
 int i;
 for (i = 0; i &lt; argc; i++) {
  printf("argv[%d]:\"%s\"\n", i, argv[i]);
 }
 return 0;
}
</v>
      </c>
      <c r="H15" s="16" t="b">
        <f t="shared" si="4"/>
        <v>0</v>
      </c>
      <c r="I15" s="14" t="str">
        <f t="shared" ca="1" si="5"/>
        <v>D:\Python-gdbnaut\test\input_files\1_bebug_builds\006_global_double.exe</v>
      </c>
      <c r="J15" s="17" t="str">
        <f t="shared" ca="1" si="6"/>
        <v>gcc "D:\Python-gdbnaut\test\input_files\0_test_source\006_global_double.c" -o "D:\Python-gdbnaut\test\input_files\1_bebug_builds\006_global_double.exe" -g -O0</v>
      </c>
      <c r="K15" s="16" t="b">
        <f>IF($G$3,doDosCmd(J15),FALSE)</f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2019-10-06T09:05:18Z</dcterms:modified>
</cp:coreProperties>
</file>